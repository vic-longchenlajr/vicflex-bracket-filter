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nline-Sync\Victaulic\Projects\Applications Engineering\VicFlex\Development\bracket-filter\public\database\"/>
    </mc:Choice>
  </mc:AlternateContent>
  <xr:revisionPtr revIDLastSave="0" documentId="8_{164FDC2F-CFAF-4C21-85FB-EB5D083D19FA}" xr6:coauthVersionLast="47" xr6:coauthVersionMax="47" xr10:uidLastSave="{00000000-0000-0000-0000-000000000000}"/>
  <bookViews>
    <workbookView xWindow="28680" yWindow="-120" windowWidth="29040" windowHeight="15720" xr2:uid="{46D41EBC-D103-4872-94AA-10D0E0BB3246}"/>
  </bookViews>
  <sheets>
    <sheet name="Configs" sheetId="7" r:id="rId1"/>
    <sheet name="Cleanroom Configs" sheetId="12" r:id="rId2"/>
    <sheet name="Wish List" sheetId="10" r:id="rId3"/>
    <sheet name="Notes" sheetId="8" r:id="rId4"/>
    <sheet name="Beta feedback" sheetId="11" r:id="rId5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7" l="1"/>
  <c r="J50" i="7"/>
  <c r="I47" i="7"/>
  <c r="J47" i="7"/>
  <c r="I48" i="7"/>
  <c r="J48" i="7"/>
  <c r="I46" i="7"/>
  <c r="J46" i="7"/>
  <c r="J10" i="10"/>
  <c r="I10" i="10"/>
  <c r="J9" i="10"/>
  <c r="I9" i="10"/>
  <c r="I18" i="7"/>
  <c r="J18" i="7"/>
  <c r="I19" i="7"/>
  <c r="J19" i="7"/>
  <c r="J39" i="7"/>
  <c r="I39" i="7"/>
  <c r="I26" i="7"/>
  <c r="J26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20" i="7"/>
  <c r="J20" i="7"/>
  <c r="I21" i="7"/>
  <c r="J21" i="7"/>
  <c r="I22" i="7"/>
  <c r="J22" i="7"/>
  <c r="I23" i="7"/>
  <c r="J23" i="7"/>
  <c r="J45" i="7"/>
  <c r="I45" i="7"/>
  <c r="J44" i="7"/>
  <c r="I44" i="7"/>
  <c r="J43" i="7"/>
  <c r="I43" i="7"/>
  <c r="J42" i="7"/>
  <c r="I42" i="7"/>
  <c r="J41" i="7"/>
  <c r="I41" i="7"/>
  <c r="J40" i="7"/>
  <c r="I40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5" i="7"/>
  <c r="I25" i="7"/>
  <c r="J24" i="7"/>
  <c r="I24" i="7"/>
  <c r="J7" i="7"/>
  <c r="I7" i="7"/>
  <c r="J6" i="7"/>
  <c r="I6" i="7"/>
  <c r="J5" i="7"/>
  <c r="I5" i="7"/>
  <c r="J4" i="7"/>
  <c r="I4" i="7"/>
  <c r="J3" i="7"/>
  <c r="I3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<sst xmlns="http://schemas.openxmlformats.org/spreadsheetml/2006/main" count="611" uniqueCount="325">
  <si>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</si>
  <si>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</si>
  <si>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</si>
  <si>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</si>
  <si>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</si>
  <si>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</si>
  <si>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</si>
  <si>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</si>
  <si>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</si>
  <si>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</si>
  <si>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</si>
  <si>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</si>
  <si>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</si>
  <si>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</si>
  <si>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</si>
  <si>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</si>
  <si>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</si>
  <si>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</si>
  <si>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</si>
  <si>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</si>
  <si>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</si>
  <si>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</si>
  <si>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N/A</t>
  </si>
  <si>
    <t>Pack and Go</t>
  </si>
  <si>
    <t>Screenshot</t>
  </si>
  <si>
    <t>\\EN-SVR-4\CorpEng\Fire Safety\Sustaining Projects\VicFlex Bracket Calculator\Screenshots\VB2-Conc-Tgrid.png</t>
  </si>
  <si>
    <t>Recessed Pendent</t>
  </si>
  <si>
    <t>\\EN-SVR-4\CorpEng\Fire Safety\Sustaining Projects\VicFlex Bracket Calculator\Pack and Go Model Files\VB5-Conc-Data\AQF-A-000-103_LIT-01.SLDASM</t>
  </si>
  <si>
    <t>AH1/2</t>
  </si>
  <si>
    <t>5-3/4" Straight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</si>
  <si>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</si>
  <si>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</si>
  <si>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</si>
  <si>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</si>
  <si>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</si>
  <si>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</si>
  <si>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</si>
  <si>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</si>
  <si>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</si>
  <si>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</si>
  <si>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</si>
  <si>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</si>
  <si>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</si>
  <si>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</si>
  <si>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</si>
  <si>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</si>
  <si>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</si>
  <si>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</si>
  <si>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</si>
  <si>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</si>
  <si>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</si>
  <si>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</si>
  <si>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</si>
  <si>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</si>
  <si>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</si>
  <si>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</si>
  <si>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</si>
  <si>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</si>
  <si>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</si>
  <si>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</si>
  <si>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</si>
  <si>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</si>
  <si>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</si>
  <si>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</si>
  <si>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</si>
  <si>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</si>
  <si>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</si>
  <si>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</si>
  <si>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</si>
  <si>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</si>
  <si>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</si>
  <si>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</si>
  <si>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</si>
  <si>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</si>
  <si>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</si>
  <si>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</si>
  <si>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</si>
  <si>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</si>
  <si>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</si>
  <si>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</si>
  <si>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</si>
  <si>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</si>
  <si>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</si>
  <si>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</si>
  <si>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</si>
  <si>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</si>
  <si>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</si>
  <si>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</si>
  <si>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</si>
  <si>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</si>
  <si>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</si>
  <si>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</si>
  <si>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\\EN-SVR-4\CorpEng\Fire Safety\Sustaining Projects\VicFlex Bracket Calculator\Screenshots\AB11-Rec-Tgrid-Low-Long.png</t>
  </si>
  <si>
    <t>\\EN-SVR-4\CorpEng\Fire Safety\Sustaining Projects\VicFlex Bracket Calculator\Pack and Go Model Files\VB2-Rec-Tgrid\AQF-A-000-013_LIT-01.SLDASM</t>
  </si>
  <si>
    <t>Alternative (above)</t>
  </si>
  <si>
    <t>Metlworks Ceiling</t>
  </si>
  <si>
    <t>AH1/1</t>
  </si>
  <si>
    <t xml:space="preserve">Hat Channel </t>
  </si>
  <si>
    <t>\\EN-SVR-4\CorpEng\Fire Safety\Sustaining Projects\VicFlex Bracket Calculator\Pack and Go Model Files\VB4-Conc-Tgrid-MetalWorks\VB4-Conc-Tgrid-MetalWorks.SLDASM</t>
  </si>
  <si>
    <t>\\EN-SVR-4\CorpEng\Fire Safety\Sustaining Projects\VicFlex Bracket Calculator\Screenshots\VB4-Conc-Tgrid-MetalWorks.png</t>
  </si>
  <si>
    <t>\\EN-SVR-4\CorpEng\Fire Safety\Sustaining Projects\VicFlex Bracket Calculator\Pack and Go Model Files\VB4-Rec-Tgrid-MetalWorks\VB4-Rec-Tgrid-MetalWorks.SLDASM</t>
  </si>
  <si>
    <t>\\EN-SVR-4\CorpEng\Fire Safety\Sustaining Projects\VicFlex Bracket Calculator\Screenshots\VB4-Rec-Tgrid-MetalWorks.png</t>
  </si>
  <si>
    <t>\\EN-SVR-4\CorpEng\Fire Safety\Sustaining Projects\VicFlex Bracket Calculator\Pack and Go Model Files\VB5-S&amp;S-Data\VB5-S&amp;S-Data-Above.SLDASM</t>
  </si>
  <si>
    <t>\\EN-SVR-4\CorpEng\Fire Safety\Sustaining Projects\VicFlex Bracket Calculator\Screenshots\VB5-S&amp;S-Data.png</t>
  </si>
  <si>
    <t>\\EN-SVR-4\CorpEng\Fire Safety\Sustaining Projects\VicFlex Bracket Calculator\Pack and Go Model Files\VB5-Rec-Data-Above\VB5-Rec-Data-Above.SLDASM</t>
  </si>
  <si>
    <t>\\EN-SVR-4\CorpEng\Fire Safety\Sustaining Projects\VicFlex Bracket Calculator\Screenshots\VB5-Rec-Data-Above.png</t>
  </si>
  <si>
    <t>\\EN-SVR-4\CorpEng\Fire Safety\Sustaining Projects\VicFlex Bracket Calculator\Pack and Go Model Files\VB5-Conc-Data-Above\VB5-Conc-Data-Above.SLDASM</t>
  </si>
  <si>
    <t>\\EN-SVR-4\CorpEng\Fire Safety\Sustaining Projects\VicFlex Bracket Calculator\Screenshots\VB5-Conc-Data-Above.png</t>
  </si>
  <si>
    <t>\\EN-SVR-4\CorpEng\Fire Safety\Sustaining Projects\VicFlex Bracket Calculator\Pack and Go Model Files\VB5-Rec-Joist-Above\VB5-Rec-Joist-Above.SLDASM</t>
  </si>
  <si>
    <t>\\EN-SVR-4\CorpEng\Fire Safety\Sustaining Projects\VicFlex Bracket Calculator\Screenshots\VB5-Rec-Joist-Above.png</t>
  </si>
  <si>
    <t>\\EN-SVR-4\CorpEng\Fire Safety\Sustaining Projects\VicFlex Bracket Calculator\Pack and Go Model Files\VB5-Rec-Joist-Below\VB5-Rec-Joist-Below.SLDASM</t>
  </si>
  <si>
    <t>\\EN-SVR-4\CorpEng\Fire Safety\Sustaining Projects\VicFlex Bracket Calculator\Screenshots\VB5-Rec-Joist-Below.png</t>
  </si>
  <si>
    <t>\\EN-SVR-4\CorpEng\Fire Safety\Sustaining Projects\VicFlex Bracket Calculator\Pack and Go Model Files\VB5-Conc-Joist-Above\VB5-Conc-Joist-Above.SLDASM</t>
  </si>
  <si>
    <t>\\EN-SVR-4\CorpEng\Fire Safety\Sustaining Projects\VicFlex Bracket Calculator\Screenshots\VB5-Conc-Joist-Above.png</t>
  </si>
  <si>
    <t>\\EN-SVR-4\CorpEng\Fire Safety\Sustaining Projects\VicFlex Bracket Calculator\Pack and Go Model Files\VB5-Conc-Joist-Below\VB5-Conc-Joist-Below.SLDASM</t>
  </si>
  <si>
    <t>\\EN-SVR-4\CorpEng\Fire Safety\Sustaining Projects\VicFlex Bracket Calculator\Screenshots\VB5-Conc-Joist-Below.png</t>
  </si>
  <si>
    <t>\\EN-SVR-4\CorpEng\Fire Safety\Sustaining Projects\VicFlex Bracket Calculator\Pack and Go Model Files\VB5-S&amp;S-Joist\VB5-S&amp;S-Joist.SLDASM</t>
  </si>
  <si>
    <t>\\EN-SVR-4\CorpEng\Fire Safety\Sustaining Projects\VicFlex Bracket Calculator\Screenshots\VB5-S&amp;S-Joist.png</t>
  </si>
  <si>
    <t>\\EN-SVR-4\CorpEng\Fire Safety\Sustaining Projects\VicFlex Bracket Calculator\Pack and Go Model Files\VB5-S&amp;S-Hat\VB5-S&amp;S-Hat.SLDASM</t>
  </si>
  <si>
    <t>\\EN-SVR-4\CorpEng\Fire Safety\Sustaining Projects\VicFlex Bracket Calculator\Screenshots\VB5-S&amp;S-Hat.png</t>
  </si>
  <si>
    <t>\\EN-SVR-4\CorpEng\Fire Safety\Sustaining Projects\VicFlex Bracket Calculator\Pack and Go Model Files\VB5-Rec-Hat\VB5-Rec-Hat.SLDASM</t>
  </si>
  <si>
    <t>\\EN-SVR-4\CorpEng\Fire Safety\Sustaining Projects\VicFlex Bracket Calculator\Screenshots\VB5-Rec-Hat.png</t>
  </si>
  <si>
    <t>\\EN-SVR-4\CorpEng\Fire Safety\Sustaining Projects\VicFlex Bracket Calculator\Pack and Go Model Files\AB5-Rec-Hat\AB5-Rec-Hat.SLDASM</t>
  </si>
  <si>
    <t>\\EN-SVR-4\CorpEng\Fire Safety\Sustaining Projects\VicFlex Bracket Calculator\Screenshots\AB5-Rec-Hat.png</t>
  </si>
  <si>
    <t>\\EN-SVR-4\CorpEng\Fire Safety\Sustaining Projects\VicFlex Bracket Calculator\Pack and Go Model Files\AB5-Rec-Hat-Stand-Long\AB5-Rec-Hat-Stand-Long.SLDASM</t>
  </si>
  <si>
    <t>\\EN-SVR-4\CorpEng\Fire Safety\Sustaining Projects\VicFlex Bracket Calculator\Screenshots\AB5-Rec-Hat-Stand-Long.png</t>
  </si>
  <si>
    <t>Wish List</t>
  </si>
  <si>
    <t>AH1/AH2</t>
  </si>
  <si>
    <t>Concealed</t>
  </si>
  <si>
    <t>Assem P&amp;G</t>
  </si>
  <si>
    <t>SS P&amp;G</t>
  </si>
  <si>
    <t xml:space="preserve">  </t>
  </si>
  <si>
    <t>Adding "C" clearance height above grid to top of hose/elbow (Kvistad)</t>
  </si>
  <si>
    <t>it would be super helpful if we could list ceiling mfg with appropriate model name/bracket fit up.  Is that doable? (Waddell)</t>
  </si>
  <si>
    <t>we would need to have authorization and access to CAD models for all of the different grid makes/models if we are going to use their products in our tool and I know we ran into roadblocks with that already so this was path to get something implemented</t>
  </si>
  <si>
    <t>Add full line of reducers (9" and 13" straight) - Bicket</t>
  </si>
  <si>
    <t>I think AB6 and AB6W would definitely be a benefit.</t>
  </si>
  <si>
    <t>Bicket</t>
  </si>
  <si>
    <t>On wood and metal “grid type” is there any way to use different elevations? (ie. 2x6 or 2x8 wood studs &amp; 1-5/8” C-Channel)</t>
  </si>
  <si>
    <t>I’ve been running into this a lot in lately in multi-family</t>
  </si>
  <si>
    <t>More measures or dimensions would be extremely helpful (ie. dimensions of the specific head or how much the set-screw sits down below the gate etc.)</t>
  </si>
  <si>
    <t>Any plans for the AQC-U or Duct Assemblies would be awesome</t>
  </si>
  <si>
    <t>Maybe a less generic “data center grid” description and go with the actual manufacturer/ model (with dimensions and required screw/ anchoring method)</t>
  </si>
  <si>
    <t>A thought about this as well… 24” vs 48” options as we are really running into some weird DC applications</t>
  </si>
  <si>
    <t>For example 6’x8’ Pics Pollargy “squares” with standard 2’x4’ T-Bar in-fill grid</t>
  </si>
  <si>
    <t>In this unique situation it would be awesome to mock up a 4’ bar stock with an AB2 end bracket on one side and an AB5 end bracket on the other</t>
  </si>
  <si>
    <t>AQD-M</t>
  </si>
  <si>
    <t>Pendent</t>
  </si>
  <si>
    <t>AQD Round 8-12"</t>
  </si>
  <si>
    <t>AQD Round 13-16"</t>
  </si>
  <si>
    <t>AQD Round 17-22"</t>
  </si>
  <si>
    <t>AQD Flat</t>
  </si>
  <si>
    <t>\\EN-SVR-4\CorpEng\Fire Safety\Sustaining Projects\VicFlex Bracket Calculator\Pack and Go Model Files\AQD Round Duct\AQD Round Duct.SLDASM</t>
  </si>
  <si>
    <t>\\EN-SVR-4\CorpEng\Fire Safety\Sustaining Projects\VicFlex Bracket Calculator\Screenshots\AQD Round Duct.png</t>
  </si>
  <si>
    <t>Round Metal Duct</t>
  </si>
  <si>
    <t>Square Metal Duct</t>
  </si>
  <si>
    <t>\\EN-SVR-4\CorpEng\Fire Safety\Sustaining Projects\VicFlex Bracket Calculator\Screenshots\AQD Square Duct.png</t>
  </si>
  <si>
    <t>\\EN-SVR-4\CorpEng\Fire Safety\Sustaining Projects\VicFlex Bracket Calculator\Pack and Go Model Files\AQD Square Duct\AQD Square Duct.SLDASM</t>
  </si>
  <si>
    <t>GRID MFG</t>
  </si>
  <si>
    <t>GRID MODEL</t>
  </si>
  <si>
    <t>Exyte</t>
  </si>
  <si>
    <t>55/70TE</t>
  </si>
  <si>
    <t>55/100TE</t>
  </si>
  <si>
    <t>55/130TE</t>
  </si>
  <si>
    <t>55/240TE</t>
  </si>
  <si>
    <t>Red Pedestal</t>
  </si>
  <si>
    <t>Gordon</t>
  </si>
  <si>
    <t>DS-20</t>
  </si>
  <si>
    <t>WG-38</t>
  </si>
  <si>
    <t>WG-XTR</t>
  </si>
  <si>
    <t>Nortek</t>
  </si>
  <si>
    <t>CleanPak</t>
  </si>
  <si>
    <t>FlexTrak</t>
  </si>
  <si>
    <t>AJ MFG</t>
  </si>
  <si>
    <t>Micro-T</t>
  </si>
  <si>
    <t>Micro-TW</t>
  </si>
  <si>
    <t>BASX</t>
  </si>
  <si>
    <t>CL0018</t>
  </si>
  <si>
    <t>Pophen</t>
  </si>
  <si>
    <t>CK 2000-H55</t>
  </si>
  <si>
    <t>CK 2000-H70</t>
  </si>
  <si>
    <t>CK 2000-H100</t>
  </si>
  <si>
    <t>CK 2000-H130</t>
  </si>
  <si>
    <t>Daldrop/SBB/Gorilla Grid</t>
  </si>
  <si>
    <t>PH120</t>
  </si>
  <si>
    <t>CLIN</t>
  </si>
  <si>
    <t>HD55</t>
  </si>
  <si>
    <t>HD65</t>
  </si>
  <si>
    <t>UG Ceilings</t>
  </si>
  <si>
    <t>UG-2</t>
  </si>
  <si>
    <t>UG-1</t>
  </si>
  <si>
    <t>UG-Lite</t>
  </si>
  <si>
    <t>Long Sight and Sunway</t>
  </si>
  <si>
    <t>Long Sight</t>
  </si>
  <si>
    <t>Sunway</t>
  </si>
  <si>
    <t>GRID HEIGHT</t>
  </si>
  <si>
    <t>2.76"</t>
  </si>
  <si>
    <t>3.94"</t>
  </si>
  <si>
    <t>5.12"</t>
  </si>
  <si>
    <t>9.45"</t>
  </si>
  <si>
    <t>3.0"</t>
  </si>
  <si>
    <t>1.375"</t>
  </si>
  <si>
    <t>3.19"</t>
  </si>
  <si>
    <t>3.625"</t>
  </si>
  <si>
    <t>5.0"</t>
  </si>
  <si>
    <t>1.5"</t>
  </si>
  <si>
    <t>5.5"</t>
  </si>
  <si>
    <t>55mm</t>
  </si>
  <si>
    <t>70mm</t>
  </si>
  <si>
    <t>100mm</t>
  </si>
  <si>
    <t>130mm</t>
  </si>
  <si>
    <t>2.5"</t>
  </si>
  <si>
    <t>3.5"</t>
  </si>
  <si>
    <t>4.5"</t>
  </si>
  <si>
    <t>4.72"</t>
  </si>
  <si>
    <t>3.21"</t>
  </si>
  <si>
    <t>4" w/ port bracket</t>
  </si>
  <si>
    <t>68mm</t>
  </si>
  <si>
    <t>Pack &amp; Go</t>
  </si>
  <si>
    <t>Screenshot 1</t>
  </si>
  <si>
    <t>Screenshot 2</t>
  </si>
  <si>
    <t>Screenshot 3</t>
  </si>
  <si>
    <t>Screenshot 4</t>
  </si>
  <si>
    <t xml:space="preserve"> </t>
  </si>
  <si>
    <t>AB6-W</t>
  </si>
  <si>
    <t>12" N/148</t>
  </si>
  <si>
    <t>Insulated Metal Panel</t>
  </si>
  <si>
    <t>GH1-C2C</t>
  </si>
  <si>
    <t>\\EN-SVR-4\CorpEng\Fire Safety\Sustaining Projects\VicFlex Bracket Calculator\Screenshots\GH1-Panel.png</t>
  </si>
  <si>
    <t>\\en-svr-4\CorpEng\Fire Safety\Sustaining Projects\VicFlex Bracket Calculator\Cleanroom\Pack and Go\Exyte 55 70 TE\AQC UNIV-Exyte 5570 TE.SLDASM</t>
  </si>
  <si>
    <t>\\en-svr-4\CorpEng\Fire Safety\Sustaining Projects\VicFlex Bracket Calculator\Cleanroom\Screenshots\AQC UNIV-Exyte 5570 TE-1.png</t>
  </si>
  <si>
    <t>\\en-svr-4\CorpEng\Fire Safety\Sustaining Projects\VicFlex Bracket Calculator\Cleanroom\Screenshots\AQC UNIV-Exyte 5570 TE-2.png</t>
  </si>
  <si>
    <t>\\en-svr-4\CorpEng\Fire Safety\Sustaining Projects\VicFlex Bracket Calculator\Cleanroom\Screenshots\AQC UNIV-Exyte 5570 TE-3.png</t>
  </si>
  <si>
    <t>\\en-svr-4\CorpEng\Fire Safety\Sustaining Projects\VicFlex Bracket Calculator\Cleanroom\Screenshots\AQC UNIV-Exyte 5570 TE-4.png</t>
  </si>
  <si>
    <t>\\en-svr-4\CorpEng\Fire Safety\Sustaining Projects\VicFlex Bracket Calculator\Cleanroom\Pack and Go\Exyte 55 100 TE\AQC UNIV-Exyte 55 100 TE.SLDASM</t>
  </si>
  <si>
    <t>\\en-svr-4\CorpEng\Fire Safety\Sustaining Projects\VicFlex Bracket Calculator\Cleanroom\Screenshots\AQC UNIV-Exyte 55 100 TE-1.png</t>
  </si>
  <si>
    <t>\\en-svr-4\CorpEng\Fire Safety\Sustaining Projects\VicFlex Bracket Calculator\Cleanroom\Screenshots\AQC UNIV-Exyte 55 100 TE-2.png</t>
  </si>
  <si>
    <t>\\en-svr-4\CorpEng\Fire Safety\Sustaining Projects\VicFlex Bracket Calculator\Cleanroom\Screenshots\AQC UNIV-Exyte 55 100 TE-3.png</t>
  </si>
  <si>
    <t>\\en-svr-4\CorpEng\Fire Safety\Sustaining Projects\VicFlex Bracket Calculator\Cleanroom\Screenshots\AQC UNIV-Exyte 55 100 TE-4.png</t>
  </si>
  <si>
    <t>\\en-svr-4\CorpEng\Fire Safety\Sustaining Projects\VicFlex Bracket Calculator\Cleanroom\Pack and Go\Exyte 55 130 TE\AQC UNIV-Exyte 55 130 TE.SLDASM</t>
  </si>
  <si>
    <t>\\en-svr-4\CorpEng\Fire Safety\Sustaining Projects\VicFlex Bracket Calculator\Cleanroom\Screenshots\AQC UNIV-Exyte 55 130 TE-1.png</t>
  </si>
  <si>
    <t>\\en-svr-4\CorpEng\Fire Safety\Sustaining Projects\VicFlex Bracket Calculator\Cleanroom\Screenshots\AQC UNIV-Exyte 55 130 TE-2.png</t>
  </si>
  <si>
    <t>\\en-svr-4\CorpEng\Fire Safety\Sustaining Projects\VicFlex Bracket Calculator\Cleanroom\Screenshots\AQC UNIV-Exyte 55 130 TE-3.png</t>
  </si>
  <si>
    <t>\\en-svr-4\CorpEng\Fire Safety\Sustaining Projects\VicFlex Bracket Calculator\Cleanroom\Screenshots\AQC UNIV-Exyte 55 130 TE-4.png</t>
  </si>
  <si>
    <t>\\en-svr-4\CorpEng\Fire Safety\Sustaining Projects\VicFlex Bracket Calculator\Cleanroom\Pack and Go\Exyte 55 240 TE\AQC UNIV-Exyte 55 240 TE.SLDASM</t>
  </si>
  <si>
    <t>\\en-svr-4\CorpEng\Fire Safety\Sustaining Projects\VicFlex Bracket Calculator\Cleanroom\Screenshots\AQC UNIV-Exyte 55 240 TE-1.png</t>
  </si>
  <si>
    <t>\\en-svr-4\CorpEng\Fire Safety\Sustaining Projects\VicFlex Bracket Calculator\Cleanroom\Screenshots\AQC UNIV-Exyte 55 240 TE-2.png</t>
  </si>
  <si>
    <t>\\en-svr-4\CorpEng\Fire Safety\Sustaining Projects\VicFlex Bracket Calculator\Cleanroom\Screenshots\AQC UNIV-Exyte 55 240 TE-3.png</t>
  </si>
  <si>
    <t>\\en-svr-4\CorpEng\Fire Safety\Sustaining Projects\VicFlex Bracket Calculator\Cleanroom\Screenshots\AQC UNIV-Exyte 55 240 TE-4.png</t>
  </si>
  <si>
    <t>\\en-svr-4\CorpEng\Fire Safety\Sustaining Projects\VicFlex Bracket Calculator\Cleanroom\Pack and Go\Gordon DS20\AQC UNIV-Gordon DS20.SLDASM</t>
  </si>
  <si>
    <t>\\en-svr-4\CorpEng\Fire Safety\Sustaining Projects\VicFlex Bracket Calculator\Cleanroom\Screenshots\AQC UNIV-Gordon DS20-1.png</t>
  </si>
  <si>
    <t>\\en-svr-4\CorpEng\Fire Safety\Sustaining Projects\VicFlex Bracket Calculator\Cleanroom\Screenshots\AQC UNIV-Gordon DS20-2.png</t>
  </si>
  <si>
    <t>\\en-svr-4\CorpEng\Fire Safety\Sustaining Projects\VicFlex Bracket Calculator\Cleanroom\Screenshots\AQC UNIV-Gordon DS20-3.png</t>
  </si>
  <si>
    <t>\\en-svr-4\CorpEng\Fire Safety\Sustaining Projects\VicFlex Bracket Calculator\Cleanroom\Screenshots\AQC UNIV-Gordon DS20-4.png</t>
  </si>
  <si>
    <t>\\en-svr-4\CorpEng\Fire Safety\Sustaining Projects\VicFlex Bracket Calculator\Cleanroom\Pack and Go\Gordon WG38\AQC UNIV-Gordon WG38.SLDASM</t>
  </si>
  <si>
    <t>\\en-svr-4\CorpEng\Fire Safety\Sustaining Projects\VicFlex Bracket Calculator\Cleanroom\Screenshots\AQC UNIV-Gordon WG38-1.png</t>
  </si>
  <si>
    <t>\\en-svr-4\CorpEng\Fire Safety\Sustaining Projects\VicFlex Bracket Calculator\Cleanroom\Screenshots\AQC UNIV-Gordon WG38-2.png</t>
  </si>
  <si>
    <t>\\en-svr-4\CorpEng\Fire Safety\Sustaining Projects\VicFlex Bracket Calculator\Cleanroom\Screenshots\AQC UNIV-Gordon WG38-3.png</t>
  </si>
  <si>
    <t>\\en-svr-4\CorpEng\Fire Safety\Sustaining Projects\VicFlex Bracket Calculator\Cleanroom\Screenshots\AQC UNIV-Gordon WG38-4.png</t>
  </si>
  <si>
    <t>\\en-svr-4\CorpEng\Fire Safety\Sustaining Projects\VicFlex Bracket Calculator\Cleanroom\Pack and Go\Gordon WGXTR\AQC UNIV-Gordon WGXTR.SLDASM</t>
  </si>
  <si>
    <t>\\en-svr-4\CorpEng\Fire Safety\Sustaining Projects\VicFlex Bracket Calculator\Cleanroom\Screenshots\AQC UNIV-Gordon WGXTR-1.png</t>
  </si>
  <si>
    <t>\\en-svr-4\CorpEng\Fire Safety\Sustaining Projects\VicFlex Bracket Calculator\Cleanroom\Screenshots\AQC UNIV-Gordon WGXTR-2.png</t>
  </si>
  <si>
    <t>\\en-svr-4\CorpEng\Fire Safety\Sustaining Projects\VicFlex Bracket Calculator\Cleanroom\Screenshots\AQC UNIV-Gordon WGXTR-3.png</t>
  </si>
  <si>
    <t>\\en-svr-4\CorpEng\Fire Safety\Sustaining Projects\VicFlex Bracket Calculator\Cleanroom\Screenshots\AQC UNIV-Gordon WGXTR-4.png</t>
  </si>
  <si>
    <t>\\en-svr-4\CorpEng\Fire Safety\Sustaining Projects\VicFlex Bracket Calculator\Cleanroom\Pack and Go\AJ Micro T\AQC UNIV-AJ Micro T.SLDASM</t>
  </si>
  <si>
    <t>\\en-svr-4\CorpEng\Fire Safety\Sustaining Projects\VicFlex Bracket Calculator\Cleanroom\Screenshots\AQC UNIV-AJ Micro T-1.png</t>
  </si>
  <si>
    <t>\\en-svr-4\CorpEng\Fire Safety\Sustaining Projects\VicFlex Bracket Calculator\Cleanroom\Screenshots\AQC UNIV-AJ Micro T-2.png</t>
  </si>
  <si>
    <t>\\en-svr-4\CorpEng\Fire Safety\Sustaining Projects\VicFlex Bracket Calculator\Cleanroom\Screenshots\AQC UNIV-AJ Micro T-3.png</t>
  </si>
  <si>
    <t>\\en-svr-4\CorpEng\Fire Safety\Sustaining Projects\VicFlex Bracket Calculator\Cleanroom\Screenshots\AQC UNIV-AJ Micro T-4.png</t>
  </si>
  <si>
    <t>\\en-svr-4\CorpEng\Fire Safety\Sustaining Projects\VicFlex Bracket Calculator\Cleanroom\Pack and Go\AJ Micro TW\AQC UNIV-AJ MicroTW.SLDASM</t>
  </si>
  <si>
    <t>\\en-svr-4\CorpEng\Fire Safety\Sustaining Projects\VicFlex Bracket Calculator\Cleanroom\Screenshots\AQC UNIV-AJ Micro TW-1.png</t>
  </si>
  <si>
    <t>\\en-svr-4\CorpEng\Fire Safety\Sustaining Projects\VicFlex Bracket Calculator\Cleanroom\Screenshots\AQC UNIV-AJ Micro TW-2.png</t>
  </si>
  <si>
    <t>\\en-svr-4\CorpEng\Fire Safety\Sustaining Projects\VicFlex Bracket Calculator\Cleanroom\Screenshots\AQC UNIV-AJ Micro TW-3.png</t>
  </si>
  <si>
    <t>\\en-svr-4\CorpEng\Fire Safety\Sustaining Projects\VicFlex Bracket Calculator\Cleanroom\Screenshots\AQC UNIV-AJ Micro TW-4.png</t>
  </si>
  <si>
    <t>\\en-svr-4\CorpEng\Fire Safety\Sustaining Projects\VicFlex Bracket Calculator\Cleanroom\Pack and Go\BASX CL0018\AQC UNIV-BASX CL0018.SLDASM</t>
  </si>
  <si>
    <t>\\en-svr-4\CorpEng\Fire Safety\Sustaining Projects\VicFlex Bracket Calculator\Cleanroom\Screenshots\AQC UNIV-BASX CL0018-1.png</t>
  </si>
  <si>
    <t>\\en-svr-4\CorpEng\Fire Safety\Sustaining Projects\VicFlex Bracket Calculator\Cleanroom\Screenshots\AQC UNIV-BASX CL0018-2.png</t>
  </si>
  <si>
    <t>\\en-svr-4\CorpEng\Fire Safety\Sustaining Projects\VicFlex Bracket Calculator\Cleanroom\Screenshots\AQC UNIV-BASX CL0018-3.png</t>
  </si>
  <si>
    <t>\\en-svr-4\CorpEng\Fire Safety\Sustaining Projects\VicFlex Bracket Calculator\Cleanroom\Screenshots\AQC UNIV-BASX CL0018-4.png</t>
  </si>
  <si>
    <t>\\en-svr-4\CorpEng\Fire Safety\Sustaining Projects\VicFlex Bracket Calculator\Cleanroom\Pack and Go\Pophen CK2000 H55\AQC UNIV-Pophen CK2000 H55.SLDASM</t>
  </si>
  <si>
    <t>\\en-svr-4\CorpEng\Fire Safety\Sustaining Projects\VicFlex Bracket Calculator\Cleanroom\Screenshots\AQC UNIV-Pophen CK2000 H55-1.png</t>
  </si>
  <si>
    <t>\\en-svr-4\CorpEng\Fire Safety\Sustaining Projects\VicFlex Bracket Calculator\Cleanroom\Screenshots\AQC UNIV-Pophen CK2000 H55-2.png</t>
  </si>
  <si>
    <t>\\en-svr-4\CorpEng\Fire Safety\Sustaining Projects\VicFlex Bracket Calculator\Cleanroom\Screenshots\AQC UNIV-Pophen CK2000 H55-3.png</t>
  </si>
  <si>
    <t>\\en-svr-4\CorpEng\Fire Safety\Sustaining Projects\VicFlex Bracket Calculator\Cleanroom\Screenshots\AQC UNIV-Pophen CK2000 H55-4.png</t>
  </si>
  <si>
    <t>\\en-svr-4\CorpEng\Fire Safety\Sustaining Projects\VicFlex Bracket Calculator\Cleanroom\Pack and Go\Pophen CK2000 H70\AQC UNIV-Pophen CK2000 H70.SLDASM</t>
  </si>
  <si>
    <t>\\en-svr-4\CorpEng\Fire Safety\Sustaining Projects\VicFlex Bracket Calculator\Cleanroom\Screenshots\AQC UNIV-Pophen CK2000 H70-1.png</t>
  </si>
  <si>
    <t>\\en-svr-4\CorpEng\Fire Safety\Sustaining Projects\VicFlex Bracket Calculator\Cleanroom\Screenshots\AQC UNIV-Pophen CK2000 H70-2.png</t>
  </si>
  <si>
    <t>\\en-svr-4\CorpEng\Fire Safety\Sustaining Projects\VicFlex Bracket Calculator\Cleanroom\Screenshots\AQC UNIV-Pophen CK2000 H70-3.png</t>
  </si>
  <si>
    <t>\\en-svr-4\CorpEng\Fire Safety\Sustaining Projects\VicFlex Bracket Calculator\Cleanroom\Screenshots\AQC UNIV-Pophen CK2000 H70-4.png</t>
  </si>
  <si>
    <t>\\en-svr-4\CorpEng\Fire Safety\Sustaining Projects\VicFlex Bracket Calculator\Cleanroom\Pack and Go\Pohen CK2000 H100\AQC UNIV-Pophen CK2000 H100.SLDASM</t>
  </si>
  <si>
    <t>\\en-svr-4\CorpEng\Fire Safety\Sustaining Projects\VicFlex Bracket Calculator\Cleanroom\Screenshots\AQC UNIV-Pophen CK2000 H100-1.png</t>
  </si>
  <si>
    <t>\\en-svr-4\CorpEng\Fire Safety\Sustaining Projects\VicFlex Bracket Calculator\Cleanroom\Screenshots\AQC UNIV-Pophen CK2000 H100-2.png</t>
  </si>
  <si>
    <t>\\en-svr-4\CorpEng\Fire Safety\Sustaining Projects\VicFlex Bracket Calculator\Cleanroom\Screenshots\AQC UNIV-Pophen CK2000 H100-3.png</t>
  </si>
  <si>
    <t>\\en-svr-4\CorpEng\Fire Safety\Sustaining Projects\VicFlex Bracket Calculator\Cleanroom\Screenshots\AQC UNIV-Pophen CK2000 H100-4.png</t>
  </si>
  <si>
    <t>\\en-svr-4\CorpEng\Fire Safety\Sustaining Projects\VicFlex Bracket Calculator\Cleanroom\Pack and Go\Pophen CK2000 H130\AQC UNIV-Pophen CK2000 H130.SLDASM</t>
  </si>
  <si>
    <t>\\en-svr-4\CorpEng\Fire Safety\Sustaining Projects\VicFlex Bracket Calculator\Cleanroom\Screenshots\AQC UNIV-Pophen CK2000 H130-1.png</t>
  </si>
  <si>
    <t>\\en-svr-4\CorpEng\Fire Safety\Sustaining Projects\VicFlex Bracket Calculator\Cleanroom\Screenshots\AQC UNIV-Pophen CK2000 H130-2.png</t>
  </si>
  <si>
    <t>\\en-svr-4\CorpEng\Fire Safety\Sustaining Projects\VicFlex Bracket Calculator\Cleanroom\Screenshots\AQC UNIV-Pophen CK2000 H130-3.png</t>
  </si>
  <si>
    <t>\\en-svr-4\CorpEng\Fire Safety\Sustaining Projects\VicFlex Bracket Calculator\Cleanroom\Screenshots\AQC UNIV-Pophen CK2000 H130-4.png</t>
  </si>
  <si>
    <t>\\en-svr-4\CorpEng\Fire Safety\Sustaining Projects\VicFlex Bracket Calculator\Cleanroom\Pack and Go\Daldrop 2025\AQC UNIV-Daldrop 2025.SLDASM</t>
  </si>
  <si>
    <t>\\en-svr-4\CorpEng\Fire Safety\Sustaining Projects\VicFlex Bracket Calculator\Cleanroom\Screenshots\AQC UNIV-Daldrop 2025-1.png</t>
  </si>
  <si>
    <t>\\en-svr-4\CorpEng\Fire Safety\Sustaining Projects\VicFlex Bracket Calculator\Cleanroom\Screenshots\AQC UNIV-Daldrop 2025-2.png</t>
  </si>
  <si>
    <t>\\en-svr-4\CorpEng\Fire Safety\Sustaining Projects\VicFlex Bracket Calculator\Cleanroom\Screenshots\AQC UNIV-Daldrop 2025-3.png</t>
  </si>
  <si>
    <t>\\en-svr-4\CorpEng\Fire Safety\Sustaining Projects\VicFlex Bracket Calculator\Cleanroom\Screenshots\AQC UNIV-Daldrop 2025-4.png</t>
  </si>
  <si>
    <t>\\en-svr-4\CorpEng\Fire Safety\Sustaining Projects\VicFlex Bracket Calculator\Cleanroom\Pack and Go\Daldrop 2035\AQC UNIV-Daldrop 2035.SLDASM</t>
  </si>
  <si>
    <t>\\en-svr-4\CorpEng\Fire Safety\Sustaining Projects\VicFlex Bracket Calculator\Cleanroom\Screenshots\AQC UNIV-Daldrop 2035-1.png</t>
  </si>
  <si>
    <t>\\en-svr-4\CorpEng\Fire Safety\Sustaining Projects\VicFlex Bracket Calculator\Cleanroom\Screenshots\AQC UNIV-Daldrop 2035-2.png</t>
  </si>
  <si>
    <t>\\en-svr-4\CorpEng\Fire Safety\Sustaining Projects\VicFlex Bracket Calculator\Cleanroom\Screenshots\AQC UNIV-Daldrop 2035-3.png</t>
  </si>
  <si>
    <t>\\en-svr-4\CorpEng\Fire Safety\Sustaining Projects\VicFlex Bracket Calculator\Cleanroom\Screenshots\AQC UNIV-Daldrop 2035-4.png</t>
  </si>
  <si>
    <t>\\en-svr-4\CorpEng\Fire Safety\Sustaining Projects\VicFlex Bracket Calculator\Cleanroom\Pack and Go\Daldrop 2045\AQC UNIV-Daldrop 2045.SLDASM</t>
  </si>
  <si>
    <t>\\en-svr-4\CorpEng\Fire Safety\Sustaining Projects\VicFlex Bracket Calculator\Cleanroom\Screenshots\AQC UNIV-Daldrop 2045-1.png</t>
  </si>
  <si>
    <t>\\en-svr-4\CorpEng\Fire Safety\Sustaining Projects\VicFlex Bracket Calculator\Cleanroom\Screenshots\AQC UNIV-Daldrop 2045-2.png</t>
  </si>
  <si>
    <t>\\en-svr-4\CorpEng\Fire Safety\Sustaining Projects\VicFlex Bracket Calculator\Cleanroom\Screenshots\AQC UNIV-Daldrop 2045-3.png</t>
  </si>
  <si>
    <t>\\en-svr-4\CorpEng\Fire Safety\Sustaining Projects\VicFlex Bracket Calculator\Cleanroom\Screenshots\AQC UNIV-Daldrop 2045-4.png</t>
  </si>
  <si>
    <t>\\en-svr-4\CorpEng\Fire Safety\Sustaining Projects\VicFlex Bracket Calculator\Cleanroom\Pack and Go\Daldrop 2055\AQC UNIV-Daldrop 2055.SLDASM</t>
  </si>
  <si>
    <t>\\en-svr-4\CorpEng\Fire Safety\Sustaining Projects\VicFlex Bracket Calculator\Cleanroom\Screenshots\AQC UNIV-Daldrop 2055-1.png</t>
  </si>
  <si>
    <t>\\en-svr-4\CorpEng\Fire Safety\Sustaining Projects\VicFlex Bracket Calculator\Cleanroom\Screenshots\AQC UNIV-Daldrop 2055-2.png</t>
  </si>
  <si>
    <t>\\en-svr-4\CorpEng\Fire Safety\Sustaining Projects\VicFlex Bracket Calculator\Cleanroom\Screenshots\AQC UNIV-Daldrop 2055-3.png</t>
  </si>
  <si>
    <t>\\en-svr-4\CorpEng\Fire Safety\Sustaining Projects\VicFlex Bracket Calculator\Cleanroom\Screenshots\AQC UNIV-Daldrop 2055-4.png</t>
  </si>
  <si>
    <t>\\EN-SVR-4\CorpEng\Fire Safety\Sustaining Projects\VicFlex Bracket Calculator\Pack and Go Model Files\GH1-Panel\GH1-Panel.SLDASM</t>
  </si>
  <si>
    <t>\\EN-SVR-4\CorpEng\Fire Safety\Sustaining Projects\VicFlex Bracket Calculator\Pack and Go Model Files\VB2-Conc-Tgrid\AQF-A-000-013_LIT-01.SLDASM</t>
  </si>
  <si>
    <t>\\EN-SVR-4\CorpEng\Fire Safety\Sustaining Projects\VicFlex Bracket Calculator\Pack and Go Model Files\VB3-Conc-Tgrid\AQF-A-000-013_LIT-01.SLDASM</t>
  </si>
  <si>
    <t>\\EN-SVR-4\CorpEng\Fire Safety\Sustaining Projects\VicFlex Bracket Calculator\Pack and Go Model Files\VB4-Conc-Tgrid\AQF-A-000-013_LIT-01.SLDASM</t>
  </si>
  <si>
    <t>\\EN-SVR-4\CorpEng\Fire Safety\Sustaining Projects\VicFlex Bracket Calculator\Pack and Go Model Files\VB4-S&amp;S-Tgrid\AQF-A-000-034_LIT-01.SLDASM</t>
  </si>
  <si>
    <t>\\EN-SVR-4\CorpEng\Fire Safety\Sustaining Projects\VicFlex Bracket Calculator\Pack and Go Model Files\VB5-Rec-Data\AQF-A-000-103_LIT-01.SLDASM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</si>
</sst>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</cellStyleXfs>
  <cellXfs count="53">
    <xf numFmtId="0" fontId="0" fillId="0" borderId="0" xfId="0"/>
    <xf numFmtId="0" fontId="2" fillId="0" borderId="0" xfId="1"/>
    <xf numFmtId="0" fontId="2" fillId="2" borderId="0" xfId="1" applyFill="1"/>
    <xf numFmtId="0" fontId="1" fillId="2" borderId="1" xfId="1" applyFont="1" applyFill="1" applyBorder="1" applyAlignment="1">
      <alignment horizontal="center" vertical="center"/>
    </xf>
    <xf numFmtId="0" fontId="0" fillId="2" borderId="0" xfId="0" applyFill="1"/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1" fontId="2" fillId="2" borderId="1" xfId="1" applyNumberForma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4"/>
    </xf>
    <xf numFmtId="0" fontId="2" fillId="3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1" fontId="2" fillId="3" borderId="1" xfId="1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7" fillId="5" borderId="1" xfId="2" applyBorder="1" applyAlignment="1">
      <alignment horizontal="center" vertical="center"/>
    </xf>
    <xf numFmtId="0" fontId="8" fillId="6" borderId="1" xfId="3" applyBorder="1" applyAlignment="1">
      <alignment horizontal="center" vertical="center"/>
    </xf>
    <xf numFmtId="0" fontId="8" fillId="6" borderId="5" xfId="3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/>
    </xf>
    <xf numFmtId="164" fontId="2" fillId="3" borderId="1" xfId="1" applyNumberFormat="1" applyFill="1" applyBorder="1" applyAlignment="1">
      <alignment horizontal="center" vertical="center"/>
    </xf>
    <xf numFmtId="0" fontId="2" fillId="2" borderId="0" xfId="1" applyFill="1" applyAlignment="1">
      <alignment vertical="center" wrapText="1"/>
    </xf>
    <xf numFmtId="0" fontId="2" fillId="8" borderId="1" xfId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2" fillId="8" borderId="1" xfId="1" applyNumberFormat="1" applyFill="1" applyBorder="1" applyAlignment="1">
      <alignment horizontal="center"/>
    </xf>
    <xf numFmtId="1" fontId="2" fillId="8" borderId="1" xfId="1" applyNumberFormat="1" applyFill="1" applyBorder="1" applyAlignment="1">
      <alignment horizontal="center"/>
    </xf>
    <xf numFmtId="0" fontId="2" fillId="8" borderId="1" xfId="1" applyFill="1" applyBorder="1" applyAlignment="1">
      <alignment horizontal="center" wrapText="1"/>
    </xf>
    <xf numFmtId="0" fontId="2" fillId="8" borderId="1" xfId="1" applyFill="1" applyBorder="1" applyAlignment="1">
      <alignment horizontal="center"/>
    </xf>
    <xf numFmtId="0" fontId="3" fillId="8" borderId="1" xfId="1" applyFont="1" applyFill="1" applyBorder="1" applyAlignment="1">
      <alignment horizontal="center" vertical="center"/>
    </xf>
    <xf numFmtId="164" fontId="2" fillId="8" borderId="1" xfId="1" applyNumberForma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4">
    <cellStyle name="Bad" xfId="3" builtinId="27"/>
    <cellStyle name="Good" xfId="2" builtinId="26"/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18</xdr:row>
      <xdr:rowOff>76200</xdr:rowOff>
    </xdr:from>
    <xdr:to>
      <xdr:col>14</xdr:col>
      <xdr:colOff>142875</xdr:colOff>
      <xdr:row>35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91A0E-7328-9776-5BE1-1F1C120CE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47700"/>
          <a:ext cx="7972425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36</xdr:row>
      <xdr:rowOff>171450</xdr:rowOff>
    </xdr:from>
    <xdr:to>
      <xdr:col>12</xdr:col>
      <xdr:colOff>428625</xdr:colOff>
      <xdr:row>59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9C4E8C-06C8-ECAF-1443-D38E4492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4171950"/>
          <a:ext cx="7038975" cy="432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51"/>
  <sheetViews>
    <sheetView tabSelected="1" topLeftCell="A2" zoomScale="80" zoomScaleNormal="80" workbookViewId="0">
      <selection activeCell="D15" sqref="D15"/>
    </sheetView>
  </sheetViews>
  <sheetFormatPr defaultColWidth="9.140625" defaultRowHeight="15" x14ac:dyDescent="0.25"/>
  <cols>
    <col min="1" max="1" width="23.42578125" style="1" customWidth="1"/>
    <col min="2" max="2" width="9.140625" style="1"/>
    <col min="3" max="3" width="25.5703125" style="1" customWidth="1"/>
    <col min="4" max="4" width="25.140625" style="1" customWidth="1"/>
    <col min="5" max="5" width="18.5703125" style="1" customWidth="1"/>
    <col min="6" max="6" width="26.140625" style="1" customWidth="1"/>
    <col min="7" max="10" width="10.7109375" style="1" customWidth="1"/>
    <col min="11" max="11" width="166.42578125" style="1" customWidth="1"/>
    <col min="12" max="12" width="131.5703125" style="1" customWidth="1"/>
    <col min="13" max="13" width="185.5703125" style="1" customWidth="1"/>
    <col min="14" max="16384" width="9.140625" style="1"/>
  </cols>
  <sheetData>
    <row r="2" spans="1:15" ht="15" customHeight="1" x14ac:dyDescent="0.25">
      <c r="A2" s="2"/>
      <c r="B2" s="3" t="s">
        <v>20</v>
      </c>
      <c r="C2" s="3" t="s">
        <v>2</v>
      </c>
      <c r="D2" s="3" t="s">
        <v>5</v>
      </c>
      <c r="E2" s="3" t="s">
        <v>3</v>
      </c>
      <c r="F2" s="3" t="s">
        <v>4</v>
      </c>
      <c r="G2" s="49" t="s">
        <v>30</v>
      </c>
      <c r="H2" s="50"/>
      <c r="I2" s="47" t="s">
        <v>31</v>
      </c>
      <c r="J2" s="48"/>
      <c r="K2" s="3" t="s">
        <v>23</v>
      </c>
      <c r="L2" s="3" t="s">
        <v>24</v>
      </c>
    </row>
    <row r="3" spans="1:15" s="2" customFormat="1" x14ac:dyDescent="0.25">
      <c r="A3" s="4"/>
      <c r="B3" s="39" t="s">
        <v>0</v>
      </c>
      <c r="C3" s="39" t="s">
        <v>0</v>
      </c>
      <c r="D3" s="40" t="s">
        <v>7</v>
      </c>
      <c r="E3" s="39" t="s">
        <v>10</v>
      </c>
      <c r="F3" s="39" t="s">
        <v>6</v>
      </c>
      <c r="G3" s="41">
        <v>1.4</v>
      </c>
      <c r="H3" s="41">
        <v>3</v>
      </c>
      <c r="I3" s="42">
        <f t="shared" ref="I3:J7" si="0">IF(G3="N/A","N/A",CONVERT(G3,"in","mm"))</f>
        <v>35.56</v>
      </c>
      <c r="J3" s="42">
        <f t="shared" si="0"/>
        <v>76.2</v>
      </c>
      <c r="K3" s="43" t="s">
        <v>320</v>
      </c>
      <c r="L3" s="43" t="s">
        <v>25</v>
      </c>
      <c r="M3" s="38"/>
      <c r="N3" s="38"/>
      <c r="O3" s="38"/>
    </row>
    <row r="4" spans="1:15" s="2" customFormat="1" x14ac:dyDescent="0.25">
      <c r="A4" s="4"/>
      <c r="B4" s="39" t="s">
        <v>0</v>
      </c>
      <c r="C4" s="39" t="s">
        <v>0</v>
      </c>
      <c r="D4" s="40" t="s">
        <v>8</v>
      </c>
      <c r="E4" s="39" t="s">
        <v>10</v>
      </c>
      <c r="F4" s="39" t="s">
        <v>6</v>
      </c>
      <c r="G4" s="40" t="s">
        <v>22</v>
      </c>
      <c r="H4" s="41">
        <v>2</v>
      </c>
      <c r="I4" s="42" t="str">
        <f t="shared" si="0"/>
        <v>N/A</v>
      </c>
      <c r="J4" s="42">
        <f t="shared" si="0"/>
        <v>50.8</v>
      </c>
      <c r="K4" s="44" t="s">
        <v>93</v>
      </c>
      <c r="L4" s="44" t="s">
        <v>81</v>
      </c>
    </row>
    <row r="5" spans="1:15" s="2" customFormat="1" x14ac:dyDescent="0.25">
      <c r="A5" s="4"/>
      <c r="B5" s="39" t="s">
        <v>0</v>
      </c>
      <c r="C5" s="39" t="s">
        <v>0</v>
      </c>
      <c r="D5" s="40" t="s">
        <v>7</v>
      </c>
      <c r="E5" s="39" t="s">
        <v>1</v>
      </c>
      <c r="F5" s="39" t="s">
        <v>6</v>
      </c>
      <c r="G5" s="40" t="s">
        <v>22</v>
      </c>
      <c r="H5" s="41">
        <v>2.2000000000000002</v>
      </c>
      <c r="I5" s="42" t="str">
        <f t="shared" si="0"/>
        <v>N/A</v>
      </c>
      <c r="J5" s="42">
        <f t="shared" si="0"/>
        <v>55.88</v>
      </c>
      <c r="K5" s="44" t="s">
        <v>321</v>
      </c>
      <c r="L5" s="44" t="s">
        <v>82</v>
      </c>
      <c r="M5" s="38"/>
      <c r="N5" s="38"/>
      <c r="O5" s="38"/>
    </row>
    <row r="6" spans="1:15" s="2" customFormat="1" x14ac:dyDescent="0.25">
      <c r="A6" s="4"/>
      <c r="B6" s="39" t="s">
        <v>0</v>
      </c>
      <c r="C6" s="39" t="s">
        <v>0</v>
      </c>
      <c r="D6" s="40" t="s">
        <v>7</v>
      </c>
      <c r="E6" s="39" t="s">
        <v>11</v>
      </c>
      <c r="F6" s="39" t="s">
        <v>6</v>
      </c>
      <c r="G6" s="40" t="s">
        <v>22</v>
      </c>
      <c r="H6" s="41">
        <v>2</v>
      </c>
      <c r="I6" s="42" t="str">
        <f t="shared" si="0"/>
        <v>N/A</v>
      </c>
      <c r="J6" s="42">
        <f t="shared" si="0"/>
        <v>50.8</v>
      </c>
      <c r="K6" s="44" t="s">
        <v>322</v>
      </c>
      <c r="L6" s="44" t="s">
        <v>83</v>
      </c>
    </row>
    <row r="7" spans="1:15" s="2" customFormat="1" x14ac:dyDescent="0.25">
      <c r="A7" s="4"/>
      <c r="B7" s="39" t="s">
        <v>0</v>
      </c>
      <c r="C7" s="39" t="s">
        <v>0</v>
      </c>
      <c r="D7" s="40" t="s">
        <v>9</v>
      </c>
      <c r="E7" s="39" t="s">
        <v>11</v>
      </c>
      <c r="F7" s="39" t="s">
        <v>6</v>
      </c>
      <c r="G7" s="41">
        <v>1.1000000000000001</v>
      </c>
      <c r="H7" s="41">
        <v>2.5</v>
      </c>
      <c r="I7" s="42">
        <f t="shared" si="0"/>
        <v>27.94</v>
      </c>
      <c r="J7" s="42">
        <f t="shared" si="0"/>
        <v>63.5</v>
      </c>
      <c r="K7" s="44" t="s">
        <v>323</v>
      </c>
      <c r="L7" s="44" t="s">
        <v>84</v>
      </c>
    </row>
    <row r="8" spans="1:15" s="2" customFormat="1" x14ac:dyDescent="0.25">
      <c r="A8" s="4"/>
      <c r="B8" s="39" t="s">
        <v>0</v>
      </c>
      <c r="C8" s="39" t="s">
        <v>0</v>
      </c>
      <c r="D8" s="40" t="s">
        <v>7</v>
      </c>
      <c r="E8" s="45" t="s">
        <v>21</v>
      </c>
      <c r="F8" s="39" t="s">
        <v>12</v>
      </c>
      <c r="G8" s="46">
        <v>2.2999999999999998</v>
      </c>
      <c r="H8" s="46">
        <v>3.2</v>
      </c>
      <c r="I8" s="42">
        <f t="shared" ref="I8:I17" si="1">IF(G8="N/A","N/A",CONVERT(G8,"in","mm"))</f>
        <v>58.42</v>
      </c>
      <c r="J8" s="42">
        <f t="shared" ref="J8:J17" si="2">IF(H8="N/A","N/A",CONVERT(H8,"in","mm"))</f>
        <v>81.28</v>
      </c>
      <c r="K8" s="44" t="s">
        <v>27</v>
      </c>
      <c r="L8" s="44" t="s">
        <v>85</v>
      </c>
    </row>
    <row r="9" spans="1:15" s="2" customFormat="1" x14ac:dyDescent="0.25">
      <c r="A9" s="4"/>
      <c r="B9" s="5" t="s">
        <v>0</v>
      </c>
      <c r="C9" s="5" t="s">
        <v>0</v>
      </c>
      <c r="D9" s="6" t="s">
        <v>26</v>
      </c>
      <c r="E9" s="12" t="s">
        <v>21</v>
      </c>
      <c r="F9" s="5" t="s">
        <v>12</v>
      </c>
      <c r="G9" s="7">
        <v>1.5</v>
      </c>
      <c r="H9" s="7">
        <v>1.9</v>
      </c>
      <c r="I9" s="8">
        <f t="shared" si="1"/>
        <v>38.1</v>
      </c>
      <c r="J9" s="8">
        <f t="shared" si="2"/>
        <v>48.26</v>
      </c>
      <c r="K9" s="9" t="s">
        <v>324</v>
      </c>
      <c r="L9" s="9" t="s">
        <v>86</v>
      </c>
    </row>
    <row r="10" spans="1:15" s="2" customFormat="1" x14ac:dyDescent="0.25">
      <c r="A10" s="4"/>
      <c r="B10" s="39" t="s">
        <v>0</v>
      </c>
      <c r="C10" s="39" t="s">
        <v>0</v>
      </c>
      <c r="D10" s="40" t="s">
        <v>9</v>
      </c>
      <c r="E10" s="45" t="s">
        <v>21</v>
      </c>
      <c r="F10" s="39" t="s">
        <v>12</v>
      </c>
      <c r="G10" s="41">
        <v>2.2000000000000002</v>
      </c>
      <c r="H10" s="41">
        <v>3.7</v>
      </c>
      <c r="I10" s="42">
        <f t="shared" si="1"/>
        <v>55.88</v>
      </c>
      <c r="J10" s="42">
        <f t="shared" si="2"/>
        <v>93.97999999999999</v>
      </c>
      <c r="K10" s="44" t="s">
        <v>102</v>
      </c>
      <c r="L10" s="44" t="s">
        <v>103</v>
      </c>
    </row>
    <row r="11" spans="1:15" s="2" customFormat="1" x14ac:dyDescent="0.25">
      <c r="A11" s="4" t="s">
        <v>94</v>
      </c>
      <c r="B11" s="5" t="s">
        <v>0</v>
      </c>
      <c r="C11" s="5" t="s">
        <v>0</v>
      </c>
      <c r="D11" s="6" t="s">
        <v>26</v>
      </c>
      <c r="E11" s="12" t="s">
        <v>21</v>
      </c>
      <c r="F11" s="5" t="s">
        <v>12</v>
      </c>
      <c r="G11" s="7">
        <v>4.4000000000000004</v>
      </c>
      <c r="H11" s="7">
        <v>4.7</v>
      </c>
      <c r="I11" s="8">
        <f t="shared" si="1"/>
        <v>111.76</v>
      </c>
      <c r="J11" s="8">
        <f t="shared" si="2"/>
        <v>119.38</v>
      </c>
      <c r="K11" s="9" t="s">
        <v>104</v>
      </c>
      <c r="L11" s="9" t="s">
        <v>105</v>
      </c>
    </row>
    <row r="12" spans="1:15" s="2" customFormat="1" x14ac:dyDescent="0.25">
      <c r="A12" s="4" t="s">
        <v>94</v>
      </c>
      <c r="B12" s="5" t="s">
        <v>0</v>
      </c>
      <c r="C12" s="5" t="s">
        <v>0</v>
      </c>
      <c r="D12" s="6" t="s">
        <v>7</v>
      </c>
      <c r="E12" s="12" t="s">
        <v>21</v>
      </c>
      <c r="F12" s="5" t="s">
        <v>12</v>
      </c>
      <c r="G12" s="7">
        <v>5.6</v>
      </c>
      <c r="H12" s="7">
        <v>5.8</v>
      </c>
      <c r="I12" s="8">
        <f t="shared" si="1"/>
        <v>142.24</v>
      </c>
      <c r="J12" s="8">
        <f t="shared" si="2"/>
        <v>147.32</v>
      </c>
      <c r="K12" s="9" t="s">
        <v>106</v>
      </c>
      <c r="L12" s="9" t="s">
        <v>107</v>
      </c>
    </row>
    <row r="13" spans="1:15" s="2" customFormat="1" x14ac:dyDescent="0.25">
      <c r="A13" s="4" t="s">
        <v>94</v>
      </c>
      <c r="B13" s="5" t="s">
        <v>0</v>
      </c>
      <c r="C13" s="5" t="s">
        <v>0</v>
      </c>
      <c r="D13" s="6" t="s">
        <v>26</v>
      </c>
      <c r="E13" s="12" t="s">
        <v>21</v>
      </c>
      <c r="F13" s="5" t="s">
        <v>13</v>
      </c>
      <c r="G13" s="7">
        <v>4.4000000000000004</v>
      </c>
      <c r="H13" s="7">
        <v>4.7</v>
      </c>
      <c r="I13" s="8">
        <f t="shared" si="1"/>
        <v>111.76</v>
      </c>
      <c r="J13" s="8">
        <f t="shared" si="2"/>
        <v>119.38</v>
      </c>
      <c r="K13" s="9" t="s">
        <v>108</v>
      </c>
      <c r="L13" s="9" t="s">
        <v>109</v>
      </c>
    </row>
    <row r="14" spans="1:15" s="2" customFormat="1" x14ac:dyDescent="0.25">
      <c r="A14" s="4"/>
      <c r="B14" s="5" t="s">
        <v>0</v>
      </c>
      <c r="C14" s="5" t="s">
        <v>0</v>
      </c>
      <c r="D14" s="6" t="s">
        <v>26</v>
      </c>
      <c r="E14" s="12" t="s">
        <v>21</v>
      </c>
      <c r="F14" s="5" t="s">
        <v>13</v>
      </c>
      <c r="G14" s="7" t="s">
        <v>22</v>
      </c>
      <c r="H14" s="7">
        <v>1.8</v>
      </c>
      <c r="I14" s="8" t="str">
        <f t="shared" si="1"/>
        <v>N/A</v>
      </c>
      <c r="J14" s="8">
        <f t="shared" si="2"/>
        <v>45.72</v>
      </c>
      <c r="K14" s="9" t="s">
        <v>110</v>
      </c>
      <c r="L14" s="9" t="s">
        <v>111</v>
      </c>
    </row>
    <row r="15" spans="1:15" s="2" customFormat="1" x14ac:dyDescent="0.25">
      <c r="A15" s="4" t="s">
        <v>94</v>
      </c>
      <c r="B15" s="5" t="s">
        <v>0</v>
      </c>
      <c r="C15" s="5" t="s">
        <v>0</v>
      </c>
      <c r="D15" s="6" t="s">
        <v>7</v>
      </c>
      <c r="E15" s="12" t="s">
        <v>21</v>
      </c>
      <c r="F15" s="5" t="s">
        <v>13</v>
      </c>
      <c r="G15" s="7">
        <v>5.6</v>
      </c>
      <c r="H15" s="7">
        <v>5.8</v>
      </c>
      <c r="I15" s="8">
        <f t="shared" si="1"/>
        <v>142.24</v>
      </c>
      <c r="J15" s="8">
        <f t="shared" si="2"/>
        <v>147.32</v>
      </c>
      <c r="K15" s="9" t="s">
        <v>112</v>
      </c>
      <c r="L15" s="9" t="s">
        <v>113</v>
      </c>
    </row>
    <row r="16" spans="1:15" s="2" customFormat="1" x14ac:dyDescent="0.25">
      <c r="A16" s="4"/>
      <c r="B16" s="5" t="s">
        <v>0</v>
      </c>
      <c r="C16" s="5" t="s">
        <v>0</v>
      </c>
      <c r="D16" s="6" t="s">
        <v>7</v>
      </c>
      <c r="E16" s="12" t="s">
        <v>21</v>
      </c>
      <c r="F16" s="5" t="s">
        <v>13</v>
      </c>
      <c r="G16" s="7" t="s">
        <v>22</v>
      </c>
      <c r="H16" s="7">
        <v>3.1</v>
      </c>
      <c r="I16" s="8" t="str">
        <f t="shared" si="1"/>
        <v>N/A</v>
      </c>
      <c r="J16" s="8">
        <f t="shared" si="2"/>
        <v>78.740000000000009</v>
      </c>
      <c r="K16" s="9" t="s">
        <v>114</v>
      </c>
      <c r="L16" s="9" t="s">
        <v>115</v>
      </c>
    </row>
    <row r="17" spans="1:13" s="2" customFormat="1" x14ac:dyDescent="0.25">
      <c r="A17" s="4"/>
      <c r="B17" s="5" t="s">
        <v>0</v>
      </c>
      <c r="C17" s="5" t="s">
        <v>0</v>
      </c>
      <c r="D17" s="6" t="s">
        <v>9</v>
      </c>
      <c r="E17" s="12" t="s">
        <v>21</v>
      </c>
      <c r="F17" s="5" t="s">
        <v>13</v>
      </c>
      <c r="G17" s="7">
        <v>2.2000000000000002</v>
      </c>
      <c r="H17" s="7">
        <v>3.7</v>
      </c>
      <c r="I17" s="8">
        <f t="shared" si="1"/>
        <v>55.88</v>
      </c>
      <c r="J17" s="8">
        <f t="shared" si="2"/>
        <v>93.97999999999999</v>
      </c>
      <c r="K17" s="9" t="s">
        <v>116</v>
      </c>
      <c r="L17" s="9" t="s">
        <v>117</v>
      </c>
    </row>
    <row r="18" spans="1:13" s="2" customFormat="1" x14ac:dyDescent="0.25">
      <c r="A18" s="4"/>
      <c r="B18" s="5" t="s">
        <v>0</v>
      </c>
      <c r="C18" s="5" t="s">
        <v>0</v>
      </c>
      <c r="D18" s="6" t="s">
        <v>9</v>
      </c>
      <c r="E18" s="12" t="s">
        <v>21</v>
      </c>
      <c r="F18" s="5" t="s">
        <v>14</v>
      </c>
      <c r="G18" s="7">
        <v>2.1</v>
      </c>
      <c r="H18" s="7">
        <v>3.6</v>
      </c>
      <c r="I18" s="8">
        <f>IF(G18="N/A","N/A",CONVERT(G18,"in","mm"))</f>
        <v>53.339999999999996</v>
      </c>
      <c r="J18" s="8">
        <f>IF(H18="N/A","N/A",CONVERT(H18,"in","mm"))</f>
        <v>91.44</v>
      </c>
      <c r="K18" s="9" t="s">
        <v>118</v>
      </c>
      <c r="L18" s="9" t="s">
        <v>119</v>
      </c>
    </row>
    <row r="19" spans="1:13" s="2" customFormat="1" x14ac:dyDescent="0.25">
      <c r="A19" s="4"/>
      <c r="B19" s="5" t="s">
        <v>0</v>
      </c>
      <c r="C19" s="5" t="s">
        <v>0</v>
      </c>
      <c r="D19" s="6" t="s">
        <v>8</v>
      </c>
      <c r="E19" s="12" t="s">
        <v>21</v>
      </c>
      <c r="F19" s="5" t="s">
        <v>97</v>
      </c>
      <c r="G19" s="7">
        <v>1.5</v>
      </c>
      <c r="H19" s="7">
        <v>1.8</v>
      </c>
      <c r="I19" s="8">
        <f>IF(G19="N/A","N/A",CONVERT(G19,"in","mm"))</f>
        <v>38.1</v>
      </c>
      <c r="J19" s="8">
        <f>IF(H19="N/A","N/A",CONVERT(H19,"in","mm"))</f>
        <v>45.72</v>
      </c>
      <c r="K19" s="9" t="s">
        <v>120</v>
      </c>
      <c r="L19" s="9" t="s">
        <v>121</v>
      </c>
    </row>
    <row r="20" spans="1:13" s="2" customFormat="1" x14ac:dyDescent="0.25">
      <c r="A20" s="4"/>
      <c r="B20" s="44" t="s">
        <v>28</v>
      </c>
      <c r="C20" s="44" t="s">
        <v>29</v>
      </c>
      <c r="D20" s="40" t="s">
        <v>8</v>
      </c>
      <c r="E20" s="44" t="s">
        <v>15</v>
      </c>
      <c r="F20" s="44" t="s">
        <v>6</v>
      </c>
      <c r="G20" s="44" t="s">
        <v>22</v>
      </c>
      <c r="H20" s="44">
        <v>2.2000000000000002</v>
      </c>
      <c r="I20" s="42" t="str">
        <f t="shared" ref="I20:I45" si="3">IF(G20="N/A","N/A",CONVERT(G20,"in","mm"))</f>
        <v>N/A</v>
      </c>
      <c r="J20" s="42">
        <f t="shared" ref="J20:J45" si="4">IF(H20="N/A","N/A",CONVERT(H20,"in","mm"))</f>
        <v>55.88</v>
      </c>
      <c r="K20" s="44" t="s">
        <v>32</v>
      </c>
      <c r="L20" s="44" t="s">
        <v>87</v>
      </c>
    </row>
    <row r="21" spans="1:13" s="2" customFormat="1" x14ac:dyDescent="0.25">
      <c r="A21" s="4"/>
      <c r="B21" s="44" t="s">
        <v>28</v>
      </c>
      <c r="C21" s="44" t="s">
        <v>29</v>
      </c>
      <c r="D21" s="40" t="s">
        <v>7</v>
      </c>
      <c r="E21" s="44" t="s">
        <v>15</v>
      </c>
      <c r="F21" s="44" t="s">
        <v>6</v>
      </c>
      <c r="G21" s="39" t="s">
        <v>22</v>
      </c>
      <c r="H21" s="39">
        <v>3.6</v>
      </c>
      <c r="I21" s="42" t="str">
        <f t="shared" si="3"/>
        <v>N/A</v>
      </c>
      <c r="J21" s="42">
        <f t="shared" si="4"/>
        <v>91.44</v>
      </c>
      <c r="K21" s="39" t="s">
        <v>40</v>
      </c>
      <c r="L21" s="39" t="s">
        <v>70</v>
      </c>
      <c r="M21" s="4"/>
    </row>
    <row r="22" spans="1:13" s="2" customFormat="1" x14ac:dyDescent="0.25">
      <c r="A22" s="4"/>
      <c r="B22" s="9" t="s">
        <v>28</v>
      </c>
      <c r="C22" s="9" t="s">
        <v>29</v>
      </c>
      <c r="D22" s="6" t="s">
        <v>8</v>
      </c>
      <c r="E22" s="9" t="s">
        <v>15</v>
      </c>
      <c r="F22" s="9" t="s">
        <v>13</v>
      </c>
      <c r="G22" s="5">
        <v>3.6</v>
      </c>
      <c r="H22" s="5">
        <v>4.4000000000000004</v>
      </c>
      <c r="I22" s="8">
        <f t="shared" si="3"/>
        <v>91.44</v>
      </c>
      <c r="J22" s="8">
        <f t="shared" si="4"/>
        <v>111.76</v>
      </c>
      <c r="K22" s="15" t="s">
        <v>41</v>
      </c>
      <c r="L22" s="6" t="s">
        <v>71</v>
      </c>
      <c r="M22" s="4"/>
    </row>
    <row r="23" spans="1:13" s="2" customFormat="1" x14ac:dyDescent="0.25">
      <c r="A23" s="4"/>
      <c r="B23" s="9" t="s">
        <v>28</v>
      </c>
      <c r="C23" s="9" t="s">
        <v>29</v>
      </c>
      <c r="D23" s="6" t="s">
        <v>7</v>
      </c>
      <c r="E23" s="9" t="s">
        <v>15</v>
      </c>
      <c r="F23" s="9" t="s">
        <v>13</v>
      </c>
      <c r="G23" s="5">
        <v>3.5</v>
      </c>
      <c r="H23" s="5">
        <v>6.5</v>
      </c>
      <c r="I23" s="8">
        <f t="shared" si="3"/>
        <v>88.9</v>
      </c>
      <c r="J23" s="8">
        <f t="shared" si="4"/>
        <v>165.1</v>
      </c>
      <c r="K23" s="16" t="s">
        <v>68</v>
      </c>
      <c r="L23" s="6" t="s">
        <v>88</v>
      </c>
      <c r="M23" s="4"/>
    </row>
    <row r="24" spans="1:13" s="2" customFormat="1" x14ac:dyDescent="0.25">
      <c r="A24" s="4"/>
      <c r="B24" s="9" t="s">
        <v>28</v>
      </c>
      <c r="C24" s="9" t="s">
        <v>29</v>
      </c>
      <c r="D24" s="6" t="s">
        <v>8</v>
      </c>
      <c r="E24" s="9" t="s">
        <v>16</v>
      </c>
      <c r="F24" s="9" t="s">
        <v>14</v>
      </c>
      <c r="G24" s="5">
        <v>1.3</v>
      </c>
      <c r="H24" s="5">
        <v>2.8</v>
      </c>
      <c r="I24" s="8">
        <f t="shared" si="3"/>
        <v>33.020000000000003</v>
      </c>
      <c r="J24" s="8">
        <f t="shared" si="4"/>
        <v>71.12</v>
      </c>
      <c r="K24" s="15" t="s">
        <v>73</v>
      </c>
      <c r="L24" s="6" t="s">
        <v>75</v>
      </c>
      <c r="M24" s="4"/>
    </row>
    <row r="25" spans="1:13" s="2" customFormat="1" x14ac:dyDescent="0.25">
      <c r="A25" s="4"/>
      <c r="B25" s="9" t="s">
        <v>28</v>
      </c>
      <c r="C25" s="9" t="s">
        <v>29</v>
      </c>
      <c r="D25" s="6" t="s">
        <v>7</v>
      </c>
      <c r="E25" s="9" t="s">
        <v>16</v>
      </c>
      <c r="F25" s="9" t="s">
        <v>14</v>
      </c>
      <c r="G25" s="5">
        <v>1.3</v>
      </c>
      <c r="H25" s="5">
        <v>4.0999999999999996</v>
      </c>
      <c r="I25" s="8">
        <f t="shared" si="3"/>
        <v>33.020000000000003</v>
      </c>
      <c r="J25" s="8">
        <f t="shared" si="4"/>
        <v>104.13999999999999</v>
      </c>
      <c r="K25" s="15" t="s">
        <v>72</v>
      </c>
      <c r="L25" s="6" t="s">
        <v>74</v>
      </c>
      <c r="M25" s="4"/>
    </row>
    <row r="26" spans="1:13" s="2" customFormat="1" x14ac:dyDescent="0.25">
      <c r="A26" s="4"/>
      <c r="B26" s="9" t="s">
        <v>96</v>
      </c>
      <c r="C26" s="9" t="s">
        <v>29</v>
      </c>
      <c r="D26" s="6" t="s">
        <v>8</v>
      </c>
      <c r="E26" s="9" t="s">
        <v>17</v>
      </c>
      <c r="F26" s="9" t="s">
        <v>14</v>
      </c>
      <c r="G26" s="5">
        <v>1.8</v>
      </c>
      <c r="H26" s="5">
        <v>5</v>
      </c>
      <c r="I26" s="8">
        <f>IF(G26="N/A","N/A",CONVERT(G26,"in","mm"))</f>
        <v>45.72</v>
      </c>
      <c r="J26" s="8">
        <f>IF(H26="N/A","N/A",CONVERT(H26,"in","mm"))</f>
        <v>127</v>
      </c>
      <c r="K26" s="15" t="s">
        <v>122</v>
      </c>
      <c r="L26" s="6" t="s">
        <v>123</v>
      </c>
      <c r="M26" s="4"/>
    </row>
    <row r="27" spans="1:13" s="2" customFormat="1" x14ac:dyDescent="0.25">
      <c r="A27" s="4"/>
      <c r="B27" s="9" t="s">
        <v>28</v>
      </c>
      <c r="C27" s="9" t="s">
        <v>29</v>
      </c>
      <c r="D27" s="6" t="s">
        <v>8</v>
      </c>
      <c r="E27" s="9" t="s">
        <v>17</v>
      </c>
      <c r="F27" s="9" t="s">
        <v>13</v>
      </c>
      <c r="G27" s="5">
        <v>0.8</v>
      </c>
      <c r="H27" s="5">
        <v>5.3</v>
      </c>
      <c r="I27" s="8">
        <f t="shared" si="3"/>
        <v>20.32</v>
      </c>
      <c r="J27" s="8">
        <f t="shared" si="4"/>
        <v>134.61999999999998</v>
      </c>
      <c r="K27" s="15" t="s">
        <v>42</v>
      </c>
      <c r="L27" s="6" t="s">
        <v>45</v>
      </c>
      <c r="M27" s="4"/>
    </row>
    <row r="28" spans="1:13" s="2" customFormat="1" x14ac:dyDescent="0.25">
      <c r="A28" s="4"/>
      <c r="B28" s="9" t="s">
        <v>28</v>
      </c>
      <c r="C28" s="9" t="s">
        <v>29</v>
      </c>
      <c r="D28" s="6" t="s">
        <v>7</v>
      </c>
      <c r="E28" s="9" t="s">
        <v>17</v>
      </c>
      <c r="F28" s="9" t="s">
        <v>13</v>
      </c>
      <c r="G28" s="5">
        <v>3.4</v>
      </c>
      <c r="H28" s="5">
        <v>6.7</v>
      </c>
      <c r="I28" s="8">
        <f t="shared" si="3"/>
        <v>86.36</v>
      </c>
      <c r="J28" s="8">
        <f t="shared" si="4"/>
        <v>170.18</v>
      </c>
      <c r="K28" s="15" t="s">
        <v>43</v>
      </c>
      <c r="L28" s="6" t="s">
        <v>46</v>
      </c>
      <c r="M28" s="4"/>
    </row>
    <row r="29" spans="1:13" s="2" customFormat="1" x14ac:dyDescent="0.25">
      <c r="A29" s="4"/>
      <c r="B29" s="9" t="s">
        <v>28</v>
      </c>
      <c r="C29" s="9" t="s">
        <v>29</v>
      </c>
      <c r="D29" s="6" t="s">
        <v>8</v>
      </c>
      <c r="E29" s="9" t="s">
        <v>17</v>
      </c>
      <c r="F29" s="5" t="s">
        <v>12</v>
      </c>
      <c r="G29" s="5" t="s">
        <v>22</v>
      </c>
      <c r="H29" s="5">
        <v>4.5</v>
      </c>
      <c r="I29" s="8" t="str">
        <f t="shared" si="3"/>
        <v>N/A</v>
      </c>
      <c r="J29" s="8">
        <f t="shared" si="4"/>
        <v>114.3</v>
      </c>
      <c r="K29" s="17" t="s">
        <v>80</v>
      </c>
      <c r="L29" s="5" t="s">
        <v>47</v>
      </c>
      <c r="M29" s="4"/>
    </row>
    <row r="30" spans="1:13" s="2" customFormat="1" x14ac:dyDescent="0.25">
      <c r="A30" s="4"/>
      <c r="B30" s="9" t="s">
        <v>28</v>
      </c>
      <c r="C30" s="9" t="s">
        <v>29</v>
      </c>
      <c r="D30" s="6" t="s">
        <v>7</v>
      </c>
      <c r="E30" s="9" t="s">
        <v>17</v>
      </c>
      <c r="F30" s="5" t="s">
        <v>12</v>
      </c>
      <c r="G30" s="5">
        <v>3.2</v>
      </c>
      <c r="H30" s="5">
        <v>7.5</v>
      </c>
      <c r="I30" s="8">
        <f t="shared" si="3"/>
        <v>81.28</v>
      </c>
      <c r="J30" s="8">
        <f t="shared" si="4"/>
        <v>190.5</v>
      </c>
      <c r="K30" s="5" t="s">
        <v>44</v>
      </c>
      <c r="L30" s="5" t="s">
        <v>89</v>
      </c>
      <c r="M30" s="4"/>
    </row>
    <row r="31" spans="1:13" s="2" customFormat="1" x14ac:dyDescent="0.25">
      <c r="A31" s="4"/>
      <c r="B31" s="44" t="s">
        <v>28</v>
      </c>
      <c r="C31" s="44" t="s">
        <v>29</v>
      </c>
      <c r="D31" s="40" t="s">
        <v>8</v>
      </c>
      <c r="E31" s="44" t="s">
        <v>18</v>
      </c>
      <c r="F31" s="44" t="s">
        <v>6</v>
      </c>
      <c r="G31" s="39" t="s">
        <v>22</v>
      </c>
      <c r="H31" s="39">
        <v>2.8</v>
      </c>
      <c r="I31" s="42" t="str">
        <f t="shared" si="3"/>
        <v>N/A</v>
      </c>
      <c r="J31" s="42">
        <f t="shared" si="4"/>
        <v>71.12</v>
      </c>
      <c r="K31" s="39" t="s">
        <v>65</v>
      </c>
      <c r="L31" s="39" t="s">
        <v>48</v>
      </c>
      <c r="M31" s="4"/>
    </row>
    <row r="32" spans="1:13" s="2" customFormat="1" x14ac:dyDescent="0.25">
      <c r="A32" s="4"/>
      <c r="B32" s="44" t="s">
        <v>28</v>
      </c>
      <c r="C32" s="44" t="s">
        <v>29</v>
      </c>
      <c r="D32" s="40" t="s">
        <v>7</v>
      </c>
      <c r="E32" s="44" t="s">
        <v>18</v>
      </c>
      <c r="F32" s="44" t="s">
        <v>6</v>
      </c>
      <c r="G32" s="39" t="s">
        <v>22</v>
      </c>
      <c r="H32" s="39">
        <v>4</v>
      </c>
      <c r="I32" s="42" t="str">
        <f t="shared" si="3"/>
        <v>N/A</v>
      </c>
      <c r="J32" s="42">
        <f t="shared" si="4"/>
        <v>101.6</v>
      </c>
      <c r="K32" s="39" t="s">
        <v>49</v>
      </c>
      <c r="L32" s="39" t="s">
        <v>50</v>
      </c>
      <c r="M32" s="4"/>
    </row>
    <row r="33" spans="1:13" s="2" customFormat="1" x14ac:dyDescent="0.25">
      <c r="A33" s="4"/>
      <c r="B33" s="44" t="s">
        <v>28</v>
      </c>
      <c r="C33" s="44" t="s">
        <v>36</v>
      </c>
      <c r="D33" s="40" t="s">
        <v>8</v>
      </c>
      <c r="E33" s="44" t="s">
        <v>19</v>
      </c>
      <c r="F33" s="44" t="s">
        <v>6</v>
      </c>
      <c r="G33" s="39" t="s">
        <v>22</v>
      </c>
      <c r="H33" s="39">
        <v>2.6</v>
      </c>
      <c r="I33" s="42" t="str">
        <f t="shared" si="3"/>
        <v>N/A</v>
      </c>
      <c r="J33" s="42">
        <f t="shared" si="4"/>
        <v>66.040000000000006</v>
      </c>
      <c r="K33" s="39" t="s">
        <v>53</v>
      </c>
      <c r="L33" s="39" t="s">
        <v>92</v>
      </c>
      <c r="M33" s="4"/>
    </row>
    <row r="34" spans="1:13" s="2" customFormat="1" x14ac:dyDescent="0.25">
      <c r="A34" s="4"/>
      <c r="B34" s="44" t="s">
        <v>28</v>
      </c>
      <c r="C34" s="44" t="s">
        <v>37</v>
      </c>
      <c r="D34" s="40" t="s">
        <v>7</v>
      </c>
      <c r="E34" s="44" t="s">
        <v>19</v>
      </c>
      <c r="F34" s="44" t="s">
        <v>6</v>
      </c>
      <c r="G34" s="39">
        <v>1</v>
      </c>
      <c r="H34" s="39">
        <v>2.2999999999999998</v>
      </c>
      <c r="I34" s="42">
        <f t="shared" si="3"/>
        <v>25.4</v>
      </c>
      <c r="J34" s="42">
        <f t="shared" si="4"/>
        <v>58.42</v>
      </c>
      <c r="K34" s="39" t="s">
        <v>51</v>
      </c>
      <c r="L34" s="39" t="s">
        <v>52</v>
      </c>
      <c r="M34" s="4"/>
    </row>
    <row r="35" spans="1:13" s="2" customFormat="1" x14ac:dyDescent="0.25">
      <c r="A35" s="4"/>
      <c r="B35" s="44" t="s">
        <v>28</v>
      </c>
      <c r="C35" s="44" t="s">
        <v>38</v>
      </c>
      <c r="D35" s="40" t="s">
        <v>8</v>
      </c>
      <c r="E35" s="44" t="s">
        <v>15</v>
      </c>
      <c r="F35" s="44" t="s">
        <v>6</v>
      </c>
      <c r="G35" s="39">
        <v>1.4</v>
      </c>
      <c r="H35" s="39">
        <v>2.2999999999999998</v>
      </c>
      <c r="I35" s="42">
        <f t="shared" si="3"/>
        <v>35.56</v>
      </c>
      <c r="J35" s="42">
        <f t="shared" si="4"/>
        <v>58.42</v>
      </c>
      <c r="K35" s="39" t="s">
        <v>56</v>
      </c>
      <c r="L35" s="39" t="s">
        <v>54</v>
      </c>
      <c r="M35" s="4"/>
    </row>
    <row r="36" spans="1:13" s="2" customFormat="1" x14ac:dyDescent="0.25">
      <c r="A36" s="4"/>
      <c r="B36" s="44" t="s">
        <v>28</v>
      </c>
      <c r="C36" s="44" t="s">
        <v>39</v>
      </c>
      <c r="D36" s="40" t="s">
        <v>7</v>
      </c>
      <c r="E36" s="44" t="s">
        <v>15</v>
      </c>
      <c r="F36" s="44" t="s">
        <v>6</v>
      </c>
      <c r="G36" s="39">
        <v>1.4</v>
      </c>
      <c r="H36" s="39">
        <v>1.9</v>
      </c>
      <c r="I36" s="42">
        <f t="shared" si="3"/>
        <v>35.56</v>
      </c>
      <c r="J36" s="42">
        <f t="shared" si="4"/>
        <v>48.26</v>
      </c>
      <c r="K36" s="39" t="s">
        <v>57</v>
      </c>
      <c r="L36" s="39" t="s">
        <v>55</v>
      </c>
      <c r="M36" s="4"/>
    </row>
    <row r="37" spans="1:13" s="2" customFormat="1" x14ac:dyDescent="0.25">
      <c r="A37" s="4"/>
      <c r="B37" s="9" t="s">
        <v>28</v>
      </c>
      <c r="C37" s="9" t="s">
        <v>38</v>
      </c>
      <c r="D37" s="6" t="s">
        <v>8</v>
      </c>
      <c r="E37" s="9" t="s">
        <v>16</v>
      </c>
      <c r="F37" s="9" t="s">
        <v>14</v>
      </c>
      <c r="G37" s="5">
        <v>1.3</v>
      </c>
      <c r="H37" s="5">
        <v>2.7</v>
      </c>
      <c r="I37" s="8">
        <f t="shared" si="3"/>
        <v>33.020000000000003</v>
      </c>
      <c r="J37" s="8">
        <f t="shared" si="4"/>
        <v>68.58</v>
      </c>
      <c r="K37" s="5" t="s">
        <v>76</v>
      </c>
      <c r="L37" s="5" t="s">
        <v>78</v>
      </c>
      <c r="M37" s="4"/>
    </row>
    <row r="38" spans="1:13" s="2" customFormat="1" x14ac:dyDescent="0.25">
      <c r="A38" s="4"/>
      <c r="B38" s="9" t="s">
        <v>28</v>
      </c>
      <c r="C38" s="9" t="s">
        <v>39</v>
      </c>
      <c r="D38" s="6" t="s">
        <v>7</v>
      </c>
      <c r="E38" s="9" t="s">
        <v>16</v>
      </c>
      <c r="F38" s="9" t="s">
        <v>14</v>
      </c>
      <c r="G38" s="5">
        <v>1.3</v>
      </c>
      <c r="H38" s="5">
        <v>2.2999999999999998</v>
      </c>
      <c r="I38" s="8">
        <f t="shared" si="3"/>
        <v>33.020000000000003</v>
      </c>
      <c r="J38" s="8">
        <f t="shared" si="4"/>
        <v>58.42</v>
      </c>
      <c r="K38" s="5" t="s">
        <v>77</v>
      </c>
      <c r="L38" s="5" t="s">
        <v>79</v>
      </c>
      <c r="M38" s="4"/>
    </row>
    <row r="39" spans="1:13" s="2" customFormat="1" x14ac:dyDescent="0.25">
      <c r="A39" s="4"/>
      <c r="B39" s="9" t="s">
        <v>28</v>
      </c>
      <c r="C39" s="9" t="s">
        <v>38</v>
      </c>
      <c r="D39" s="6" t="s">
        <v>8</v>
      </c>
      <c r="E39" s="9" t="s">
        <v>17</v>
      </c>
      <c r="F39" s="9" t="s">
        <v>14</v>
      </c>
      <c r="G39" s="5">
        <v>1.8</v>
      </c>
      <c r="H39" s="5">
        <v>5</v>
      </c>
      <c r="I39" s="8">
        <f t="shared" si="3"/>
        <v>45.72</v>
      </c>
      <c r="J39" s="8">
        <f t="shared" si="4"/>
        <v>127</v>
      </c>
      <c r="K39" s="5" t="s">
        <v>124</v>
      </c>
      <c r="L39" s="5" t="s">
        <v>125</v>
      </c>
      <c r="M39" s="4"/>
    </row>
    <row r="40" spans="1:13" s="2" customFormat="1" x14ac:dyDescent="0.25">
      <c r="A40" s="4"/>
      <c r="B40" s="9" t="s">
        <v>28</v>
      </c>
      <c r="C40" s="9" t="s">
        <v>36</v>
      </c>
      <c r="D40" s="6" t="s">
        <v>8</v>
      </c>
      <c r="E40" s="9" t="s">
        <v>17</v>
      </c>
      <c r="F40" s="5" t="s">
        <v>12</v>
      </c>
      <c r="G40" s="5" t="s">
        <v>22</v>
      </c>
      <c r="H40" s="5">
        <v>3.8</v>
      </c>
      <c r="I40" s="8" t="str">
        <f t="shared" si="3"/>
        <v>N/A</v>
      </c>
      <c r="J40" s="8">
        <f t="shared" si="4"/>
        <v>96.52</v>
      </c>
      <c r="K40" s="5" t="s">
        <v>58</v>
      </c>
      <c r="L40" s="5" t="s">
        <v>59</v>
      </c>
      <c r="M40" s="4"/>
    </row>
    <row r="41" spans="1:13" s="2" customFormat="1" x14ac:dyDescent="0.25">
      <c r="A41" s="4"/>
      <c r="B41" s="9" t="s">
        <v>28</v>
      </c>
      <c r="C41" s="9" t="s">
        <v>37</v>
      </c>
      <c r="D41" s="6" t="s">
        <v>7</v>
      </c>
      <c r="E41" s="9" t="s">
        <v>17</v>
      </c>
      <c r="F41" s="5" t="s">
        <v>12</v>
      </c>
      <c r="G41" s="5">
        <v>2.1</v>
      </c>
      <c r="H41" s="5">
        <v>3.5</v>
      </c>
      <c r="I41" s="8">
        <f t="shared" si="3"/>
        <v>53.339999999999996</v>
      </c>
      <c r="J41" s="8">
        <f t="shared" si="4"/>
        <v>88.9</v>
      </c>
      <c r="K41" s="5" t="s">
        <v>60</v>
      </c>
      <c r="L41" s="5" t="s">
        <v>61</v>
      </c>
      <c r="M41" s="4"/>
    </row>
    <row r="42" spans="1:13" s="2" customFormat="1" x14ac:dyDescent="0.25">
      <c r="A42" s="4"/>
      <c r="B42" s="9" t="s">
        <v>28</v>
      </c>
      <c r="C42" s="9" t="s">
        <v>38</v>
      </c>
      <c r="D42" s="6" t="s">
        <v>8</v>
      </c>
      <c r="E42" s="9" t="s">
        <v>17</v>
      </c>
      <c r="F42" s="5" t="s">
        <v>12</v>
      </c>
      <c r="G42" s="5">
        <v>2.1</v>
      </c>
      <c r="H42" s="5">
        <v>5.0999999999999996</v>
      </c>
      <c r="I42" s="8">
        <f t="shared" si="3"/>
        <v>53.339999999999996</v>
      </c>
      <c r="J42" s="8">
        <f t="shared" si="4"/>
        <v>129.54</v>
      </c>
      <c r="K42" s="5" t="s">
        <v>62</v>
      </c>
      <c r="L42" s="5" t="s">
        <v>63</v>
      </c>
      <c r="M42" s="4"/>
    </row>
    <row r="43" spans="1:13" s="2" customFormat="1" x14ac:dyDescent="0.25">
      <c r="A43" s="4"/>
      <c r="B43" s="9" t="s">
        <v>28</v>
      </c>
      <c r="C43" s="9" t="s">
        <v>39</v>
      </c>
      <c r="D43" s="6" t="s">
        <v>7</v>
      </c>
      <c r="E43" s="9" t="s">
        <v>17</v>
      </c>
      <c r="F43" s="5" t="s">
        <v>12</v>
      </c>
      <c r="G43" s="5">
        <v>3.2</v>
      </c>
      <c r="H43" s="5">
        <v>5.3</v>
      </c>
      <c r="I43" s="8">
        <f t="shared" si="3"/>
        <v>81.28</v>
      </c>
      <c r="J43" s="8">
        <f t="shared" si="4"/>
        <v>134.61999999999998</v>
      </c>
      <c r="K43" s="5" t="s">
        <v>64</v>
      </c>
      <c r="L43" s="5" t="s">
        <v>90</v>
      </c>
      <c r="M43" s="4"/>
    </row>
    <row r="44" spans="1:13" s="2" customFormat="1" x14ac:dyDescent="0.25">
      <c r="A44" s="4"/>
      <c r="B44" s="44" t="s">
        <v>28</v>
      </c>
      <c r="C44" s="44" t="s">
        <v>38</v>
      </c>
      <c r="D44" s="40" t="s">
        <v>8</v>
      </c>
      <c r="E44" s="44" t="s">
        <v>18</v>
      </c>
      <c r="F44" s="44" t="s">
        <v>6</v>
      </c>
      <c r="G44" s="39">
        <v>1.5</v>
      </c>
      <c r="H44" s="39">
        <v>2.8</v>
      </c>
      <c r="I44" s="42">
        <f t="shared" si="3"/>
        <v>38.1</v>
      </c>
      <c r="J44" s="42">
        <f t="shared" si="4"/>
        <v>71.12</v>
      </c>
      <c r="K44" s="39" t="s">
        <v>66</v>
      </c>
      <c r="L44" s="39" t="s">
        <v>91</v>
      </c>
      <c r="M44" s="4"/>
    </row>
    <row r="45" spans="1:13" s="2" customFormat="1" x14ac:dyDescent="0.25">
      <c r="A45" s="4"/>
      <c r="B45" s="44" t="s">
        <v>28</v>
      </c>
      <c r="C45" s="44" t="s">
        <v>39</v>
      </c>
      <c r="D45" s="40" t="s">
        <v>7</v>
      </c>
      <c r="E45" s="44" t="s">
        <v>18</v>
      </c>
      <c r="F45" s="44" t="s">
        <v>6</v>
      </c>
      <c r="G45" s="39">
        <v>1.5</v>
      </c>
      <c r="H45" s="39">
        <v>2.5</v>
      </c>
      <c r="I45" s="42">
        <f t="shared" si="3"/>
        <v>38.1</v>
      </c>
      <c r="J45" s="42">
        <f t="shared" si="4"/>
        <v>63.5</v>
      </c>
      <c r="K45" s="39" t="s">
        <v>69</v>
      </c>
      <c r="L45" s="39" t="s">
        <v>67</v>
      </c>
      <c r="M45" s="4"/>
    </row>
    <row r="46" spans="1:13" x14ac:dyDescent="0.25">
      <c r="A46"/>
      <c r="B46" s="26" t="s">
        <v>146</v>
      </c>
      <c r="C46" s="26" t="s">
        <v>146</v>
      </c>
      <c r="D46" s="25" t="s">
        <v>147</v>
      </c>
      <c r="E46" s="24" t="s">
        <v>148</v>
      </c>
      <c r="F46" s="24" t="s">
        <v>154</v>
      </c>
      <c r="G46" s="37">
        <v>8</v>
      </c>
      <c r="H46" s="37">
        <v>12</v>
      </c>
      <c r="I46" s="27">
        <f t="shared" ref="I46:J50" si="5">IF(G46="N/A","N/A",CONVERT(G46,"in","mm"))</f>
        <v>203.2</v>
      </c>
      <c r="J46" s="27">
        <f t="shared" si="5"/>
        <v>304.8</v>
      </c>
      <c r="K46" s="24" t="s">
        <v>152</v>
      </c>
      <c r="L46" s="24" t="s">
        <v>153</v>
      </c>
      <c r="M46"/>
    </row>
    <row r="47" spans="1:13" x14ac:dyDescent="0.25">
      <c r="B47" s="26" t="s">
        <v>146</v>
      </c>
      <c r="C47" s="26" t="s">
        <v>146</v>
      </c>
      <c r="D47" s="25" t="s">
        <v>147</v>
      </c>
      <c r="E47" s="24" t="s">
        <v>149</v>
      </c>
      <c r="F47" s="24" t="s">
        <v>154</v>
      </c>
      <c r="G47" s="37">
        <v>13</v>
      </c>
      <c r="H47" s="37">
        <v>16</v>
      </c>
      <c r="I47" s="27">
        <f t="shared" si="5"/>
        <v>330.2</v>
      </c>
      <c r="J47" s="27">
        <f t="shared" si="5"/>
        <v>406.4</v>
      </c>
      <c r="K47" s="24" t="s">
        <v>152</v>
      </c>
      <c r="L47" s="24" t="s">
        <v>153</v>
      </c>
      <c r="M47"/>
    </row>
    <row r="48" spans="1:13" x14ac:dyDescent="0.25">
      <c r="B48" s="26" t="s">
        <v>146</v>
      </c>
      <c r="C48" s="26" t="s">
        <v>146</v>
      </c>
      <c r="D48" s="25" t="s">
        <v>147</v>
      </c>
      <c r="E48" s="24" t="s">
        <v>150</v>
      </c>
      <c r="F48" s="24" t="s">
        <v>154</v>
      </c>
      <c r="G48" s="37">
        <v>17</v>
      </c>
      <c r="H48" s="37">
        <v>22</v>
      </c>
      <c r="I48" s="27">
        <f t="shared" si="5"/>
        <v>431.8</v>
      </c>
      <c r="J48" s="27">
        <f t="shared" si="5"/>
        <v>558.79999999999995</v>
      </c>
      <c r="K48" s="24" t="s">
        <v>152</v>
      </c>
      <c r="L48" s="24" t="s">
        <v>153</v>
      </c>
      <c r="M48"/>
    </row>
    <row r="49" spans="2:13" x14ac:dyDescent="0.25">
      <c r="B49" s="26" t="s">
        <v>146</v>
      </c>
      <c r="C49" s="26" t="s">
        <v>146</v>
      </c>
      <c r="D49" s="25" t="s">
        <v>147</v>
      </c>
      <c r="E49" s="26" t="s">
        <v>151</v>
      </c>
      <c r="F49" s="26" t="s">
        <v>155</v>
      </c>
      <c r="G49" s="24" t="s">
        <v>22</v>
      </c>
      <c r="H49" s="24" t="s">
        <v>22</v>
      </c>
      <c r="I49" s="24" t="s">
        <v>22</v>
      </c>
      <c r="J49" s="27" t="str">
        <f t="shared" si="5"/>
        <v>N/A</v>
      </c>
      <c r="K49" s="25" t="s">
        <v>157</v>
      </c>
      <c r="L49" s="24" t="s">
        <v>156</v>
      </c>
      <c r="M49"/>
    </row>
    <row r="50" spans="2:13" x14ac:dyDescent="0.25">
      <c r="B50" s="26" t="s">
        <v>227</v>
      </c>
      <c r="C50" s="26" t="s">
        <v>225</v>
      </c>
      <c r="D50" s="25" t="s">
        <v>147</v>
      </c>
      <c r="E50" s="26" t="s">
        <v>224</v>
      </c>
      <c r="F50" s="26" t="s">
        <v>226</v>
      </c>
      <c r="G50" s="36">
        <v>2</v>
      </c>
      <c r="H50" s="36">
        <v>7</v>
      </c>
      <c r="I50" s="24">
        <v>50</v>
      </c>
      <c r="J50" s="27">
        <f t="shared" si="5"/>
        <v>177.8</v>
      </c>
      <c r="K50" s="25" t="s">
        <v>319</v>
      </c>
      <c r="L50" s="24" t="s">
        <v>228</v>
      </c>
    </row>
    <row r="51" spans="2:13" x14ac:dyDescent="0.25">
      <c r="K51"/>
    </row>
  </sheetData>
  <mergeCells count="2">
    <mergeCell ref="I2:J2"/>
    <mergeCell ref="G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E86F-EE76-4E57-9327-4023DF256FD9}">
  <dimension ref="B3:W41"/>
  <sheetViews>
    <sheetView topLeftCell="B14" workbookViewId="0">
      <selection activeCell="Q36" sqref="Q36"/>
    </sheetView>
  </sheetViews>
  <sheetFormatPr defaultRowHeight="15" x14ac:dyDescent="0.25"/>
  <cols>
    <col min="1" max="1" width="9.140625" style="31"/>
    <col min="2" max="2" width="23.5703125" style="31" customWidth="1"/>
    <col min="3" max="3" width="17.140625" style="31" customWidth="1"/>
    <col min="4" max="4" width="19.42578125" style="31" customWidth="1"/>
    <col min="5" max="5" width="18.85546875" style="31" customWidth="1"/>
    <col min="6" max="6" width="16.28515625" style="31" customWidth="1"/>
    <col min="7" max="7" width="16.140625" style="31" customWidth="1"/>
    <col min="8" max="8" width="16" style="31" customWidth="1"/>
    <col min="9" max="9" width="15.140625" style="31" customWidth="1"/>
    <col min="10" max="16384" width="9.140625" style="31"/>
  </cols>
  <sheetData>
    <row r="3" spans="2:23" x14ac:dyDescent="0.25">
      <c r="B3" s="30" t="s">
        <v>158</v>
      </c>
      <c r="C3" s="30" t="s">
        <v>159</v>
      </c>
      <c r="D3" s="30" t="s">
        <v>195</v>
      </c>
      <c r="E3" s="30" t="s">
        <v>218</v>
      </c>
      <c r="F3" s="30" t="s">
        <v>219</v>
      </c>
      <c r="G3" s="30" t="s">
        <v>220</v>
      </c>
      <c r="H3" s="30" t="s">
        <v>221</v>
      </c>
      <c r="I3" s="30" t="s">
        <v>222</v>
      </c>
      <c r="K3" s="52" t="s">
        <v>219</v>
      </c>
      <c r="L3" s="52"/>
      <c r="M3" s="52"/>
      <c r="N3" s="52"/>
      <c r="O3" s="52"/>
      <c r="P3" s="52"/>
      <c r="R3" s="52" t="s">
        <v>221</v>
      </c>
      <c r="S3" s="52"/>
      <c r="T3" s="52"/>
      <c r="U3" s="52"/>
      <c r="V3" s="52"/>
      <c r="W3" s="52"/>
    </row>
    <row r="4" spans="2:23" ht="17.100000000000001" customHeight="1" x14ac:dyDescent="0.25">
      <c r="B4" s="51" t="s">
        <v>160</v>
      </c>
      <c r="C4" s="33" t="s">
        <v>161</v>
      </c>
      <c r="D4" s="28" t="s">
        <v>196</v>
      </c>
      <c r="E4" s="28" t="s">
        <v>229</v>
      </c>
      <c r="F4" s="28" t="s">
        <v>230</v>
      </c>
      <c r="G4" s="28" t="s">
        <v>231</v>
      </c>
      <c r="H4" s="28" t="s">
        <v>232</v>
      </c>
      <c r="I4" s="28" t="s">
        <v>233</v>
      </c>
      <c r="J4" s="31" t="s">
        <v>223</v>
      </c>
      <c r="K4" s="51" t="e" vm="1">
        <v>#VALUE!</v>
      </c>
      <c r="L4" s="51"/>
      <c r="M4" s="51"/>
      <c r="N4" s="51"/>
      <c r="O4" s="51"/>
      <c r="P4" s="51"/>
      <c r="R4" s="51" t="e" vm="2">
        <v>#VALUE!</v>
      </c>
      <c r="S4" s="51"/>
      <c r="T4" s="51"/>
      <c r="U4" s="51"/>
      <c r="V4" s="51"/>
      <c r="W4" s="51"/>
    </row>
    <row r="5" spans="2:23" ht="17.100000000000001" customHeight="1" x14ac:dyDescent="0.25">
      <c r="B5" s="51"/>
      <c r="C5" s="33" t="s">
        <v>162</v>
      </c>
      <c r="D5" s="28" t="s">
        <v>197</v>
      </c>
      <c r="E5" s="28" t="s">
        <v>234</v>
      </c>
      <c r="F5" s="28" t="s">
        <v>235</v>
      </c>
      <c r="G5" s="28" t="s">
        <v>236</v>
      </c>
      <c r="H5" s="28" t="s">
        <v>237</v>
      </c>
      <c r="I5" s="28" t="s">
        <v>238</v>
      </c>
      <c r="J5" s="31" t="s">
        <v>223</v>
      </c>
      <c r="K5" s="51"/>
      <c r="L5" s="51"/>
      <c r="M5" s="51"/>
      <c r="N5" s="51"/>
      <c r="O5" s="51"/>
      <c r="P5" s="51"/>
      <c r="R5" s="51"/>
      <c r="S5" s="51"/>
      <c r="T5" s="51"/>
      <c r="U5" s="51"/>
      <c r="V5" s="51"/>
      <c r="W5" s="51"/>
    </row>
    <row r="6" spans="2:23" ht="17.100000000000001" customHeight="1" x14ac:dyDescent="0.25">
      <c r="B6" s="51"/>
      <c r="C6" s="33" t="s">
        <v>163</v>
      </c>
      <c r="D6" s="28" t="s">
        <v>198</v>
      </c>
      <c r="E6" s="28" t="s">
        <v>239</v>
      </c>
      <c r="F6" s="28" t="s">
        <v>240</v>
      </c>
      <c r="G6" s="28" t="s">
        <v>241</v>
      </c>
      <c r="H6" s="28" t="s">
        <v>242</v>
      </c>
      <c r="I6" s="28" t="s">
        <v>243</v>
      </c>
      <c r="J6" s="31" t="s">
        <v>223</v>
      </c>
      <c r="K6" s="51"/>
      <c r="L6" s="51"/>
      <c r="M6" s="51"/>
      <c r="N6" s="51"/>
      <c r="O6" s="51"/>
      <c r="P6" s="51"/>
      <c r="R6" s="51"/>
      <c r="S6" s="51"/>
      <c r="T6" s="51"/>
      <c r="U6" s="51"/>
      <c r="V6" s="51"/>
      <c r="W6" s="51"/>
    </row>
    <row r="7" spans="2:23" ht="17.100000000000001" customHeight="1" x14ac:dyDescent="0.25">
      <c r="B7" s="51"/>
      <c r="C7" s="33" t="s">
        <v>164</v>
      </c>
      <c r="D7" s="28" t="s">
        <v>199</v>
      </c>
      <c r="E7" s="28" t="s">
        <v>244</v>
      </c>
      <c r="F7" s="28" t="s">
        <v>245</v>
      </c>
      <c r="G7" s="28" t="s">
        <v>246</v>
      </c>
      <c r="H7" s="28" t="s">
        <v>247</v>
      </c>
      <c r="I7" s="28" t="s">
        <v>248</v>
      </c>
      <c r="J7" s="31" t="s">
        <v>223</v>
      </c>
      <c r="K7" s="51"/>
      <c r="L7" s="51"/>
      <c r="M7" s="51"/>
      <c r="N7" s="51"/>
      <c r="O7" s="51"/>
      <c r="P7" s="51"/>
      <c r="R7" s="51"/>
      <c r="S7" s="51"/>
      <c r="T7" s="51"/>
      <c r="U7" s="51"/>
      <c r="V7" s="51"/>
      <c r="W7" s="51"/>
    </row>
    <row r="8" spans="2:23" ht="17.100000000000001" customHeight="1" x14ac:dyDescent="0.25">
      <c r="B8" s="51"/>
      <c r="C8" s="34" t="s">
        <v>165</v>
      </c>
      <c r="D8" s="28" t="s">
        <v>200</v>
      </c>
      <c r="E8" s="28"/>
      <c r="F8" s="28"/>
      <c r="G8" s="28"/>
      <c r="H8" s="28"/>
      <c r="I8" s="28"/>
      <c r="K8" s="51"/>
      <c r="L8" s="51"/>
      <c r="M8" s="51"/>
      <c r="N8" s="51"/>
      <c r="O8" s="51"/>
      <c r="P8" s="51"/>
      <c r="R8" s="51"/>
      <c r="S8" s="51"/>
      <c r="T8" s="51"/>
      <c r="U8" s="51"/>
      <c r="V8" s="51"/>
      <c r="W8" s="51"/>
    </row>
    <row r="9" spans="2:23" ht="17.100000000000001" customHeight="1" x14ac:dyDescent="0.25">
      <c r="B9" s="51" t="s">
        <v>166</v>
      </c>
      <c r="C9" s="33" t="s">
        <v>167</v>
      </c>
      <c r="D9" s="28" t="s">
        <v>201</v>
      </c>
      <c r="E9" s="28" t="s">
        <v>249</v>
      </c>
      <c r="F9" s="28" t="s">
        <v>250</v>
      </c>
      <c r="G9" s="28" t="s">
        <v>251</v>
      </c>
      <c r="H9" s="28" t="s">
        <v>252</v>
      </c>
      <c r="I9" s="28" t="s">
        <v>253</v>
      </c>
      <c r="J9" s="31" t="s">
        <v>131</v>
      </c>
      <c r="K9" s="51"/>
      <c r="L9" s="51"/>
      <c r="M9" s="51"/>
      <c r="N9" s="51"/>
      <c r="O9" s="51"/>
      <c r="P9" s="51"/>
      <c r="R9" s="51"/>
      <c r="S9" s="51"/>
      <c r="T9" s="51"/>
      <c r="U9" s="51"/>
      <c r="V9" s="51"/>
      <c r="W9" s="51"/>
    </row>
    <row r="10" spans="2:23" ht="17.100000000000001" customHeight="1" x14ac:dyDescent="0.25">
      <c r="B10" s="51"/>
      <c r="C10" s="33" t="s">
        <v>168</v>
      </c>
      <c r="D10" s="28" t="s">
        <v>200</v>
      </c>
      <c r="E10" s="28" t="s">
        <v>254</v>
      </c>
      <c r="F10" s="28" t="s">
        <v>255</v>
      </c>
      <c r="G10" s="28" t="s">
        <v>256</v>
      </c>
      <c r="H10" s="28" t="s">
        <v>257</v>
      </c>
      <c r="I10" s="28" t="s">
        <v>258</v>
      </c>
      <c r="J10" s="31" t="s">
        <v>223</v>
      </c>
      <c r="K10" s="51"/>
      <c r="L10" s="51"/>
      <c r="M10" s="51"/>
      <c r="N10" s="51"/>
      <c r="O10" s="51"/>
      <c r="P10" s="51"/>
      <c r="R10" s="51"/>
      <c r="S10" s="51"/>
      <c r="T10" s="51"/>
      <c r="U10" s="51"/>
      <c r="V10" s="51"/>
      <c r="W10" s="51"/>
    </row>
    <row r="11" spans="2:23" ht="17.100000000000001" customHeight="1" x14ac:dyDescent="0.25">
      <c r="B11" s="51"/>
      <c r="C11" s="33" t="s">
        <v>169</v>
      </c>
      <c r="D11" s="28" t="s">
        <v>202</v>
      </c>
      <c r="E11" s="28" t="s">
        <v>259</v>
      </c>
      <c r="F11" s="28" t="s">
        <v>260</v>
      </c>
      <c r="G11" s="28" t="s">
        <v>261</v>
      </c>
      <c r="H11" s="28" t="s">
        <v>262</v>
      </c>
      <c r="I11" s="28" t="s">
        <v>263</v>
      </c>
      <c r="J11" s="31" t="s">
        <v>223</v>
      </c>
      <c r="K11" s="51"/>
      <c r="L11" s="51"/>
      <c r="M11" s="51"/>
      <c r="N11" s="51"/>
      <c r="O11" s="51"/>
      <c r="P11" s="51"/>
      <c r="R11" s="51"/>
      <c r="S11" s="51"/>
      <c r="T11" s="51"/>
      <c r="U11" s="51"/>
      <c r="V11" s="51"/>
      <c r="W11" s="51"/>
    </row>
    <row r="12" spans="2:23" ht="17.100000000000001" customHeight="1" x14ac:dyDescent="0.25">
      <c r="B12" s="51" t="s">
        <v>170</v>
      </c>
      <c r="C12" s="34" t="s">
        <v>171</v>
      </c>
      <c r="D12" s="28" t="s">
        <v>203</v>
      </c>
      <c r="E12" s="28"/>
      <c r="F12" s="28"/>
      <c r="G12" s="28"/>
      <c r="H12" s="28"/>
      <c r="I12" s="28"/>
      <c r="R12" s="51"/>
      <c r="S12" s="51"/>
      <c r="T12" s="51"/>
      <c r="U12" s="51"/>
      <c r="V12" s="51"/>
      <c r="W12" s="51"/>
    </row>
    <row r="13" spans="2:23" ht="17.100000000000001" customHeight="1" x14ac:dyDescent="0.25">
      <c r="B13" s="51"/>
      <c r="C13" s="34" t="s">
        <v>172</v>
      </c>
      <c r="D13" s="28" t="s">
        <v>204</v>
      </c>
      <c r="E13" s="28"/>
      <c r="F13" s="28"/>
      <c r="G13" s="28"/>
      <c r="H13" s="28"/>
      <c r="I13" s="28"/>
      <c r="K13" s="52" t="s">
        <v>220</v>
      </c>
      <c r="L13" s="52"/>
      <c r="M13" s="52"/>
      <c r="N13" s="52"/>
      <c r="O13" s="52"/>
      <c r="P13" s="52"/>
      <c r="R13" s="51"/>
      <c r="S13" s="51"/>
      <c r="T13" s="51"/>
      <c r="U13" s="51"/>
      <c r="V13" s="51"/>
      <c r="W13" s="51"/>
    </row>
    <row r="14" spans="2:23" ht="17.100000000000001" customHeight="1" x14ac:dyDescent="0.25">
      <c r="B14" s="51" t="s">
        <v>173</v>
      </c>
      <c r="C14" s="33" t="s">
        <v>174</v>
      </c>
      <c r="D14" s="28" t="s">
        <v>205</v>
      </c>
      <c r="E14" s="28" t="s">
        <v>264</v>
      </c>
      <c r="F14" s="28" t="s">
        <v>265</v>
      </c>
      <c r="G14" s="28" t="s">
        <v>266</v>
      </c>
      <c r="H14" s="28" t="s">
        <v>267</v>
      </c>
      <c r="I14" s="28" t="s">
        <v>268</v>
      </c>
      <c r="J14" s="31" t="s">
        <v>131</v>
      </c>
      <c r="K14" s="51" t="e" vm="3">
        <v>#VALUE!</v>
      </c>
      <c r="L14" s="51"/>
      <c r="M14" s="51"/>
      <c r="N14" s="51"/>
      <c r="O14" s="51"/>
      <c r="P14" s="51"/>
      <c r="R14" s="51"/>
      <c r="S14" s="51"/>
      <c r="T14" s="51"/>
      <c r="U14" s="51"/>
      <c r="V14" s="51"/>
      <c r="W14" s="51"/>
    </row>
    <row r="15" spans="2:23" ht="17.100000000000001" customHeight="1" x14ac:dyDescent="0.25">
      <c r="B15" s="51"/>
      <c r="C15" s="33" t="s">
        <v>175</v>
      </c>
      <c r="D15" s="28" t="s">
        <v>200</v>
      </c>
      <c r="E15" s="28" t="s">
        <v>269</v>
      </c>
      <c r="F15" s="28" t="s">
        <v>270</v>
      </c>
      <c r="G15" s="28" t="s">
        <v>271</v>
      </c>
      <c r="H15" s="28" t="s">
        <v>272</v>
      </c>
      <c r="I15" s="28" t="s">
        <v>273</v>
      </c>
      <c r="J15" s="31" t="s">
        <v>223</v>
      </c>
      <c r="K15" s="51"/>
      <c r="L15" s="51"/>
      <c r="M15" s="51"/>
      <c r="N15" s="51"/>
      <c r="O15" s="51"/>
      <c r="P15" s="51"/>
      <c r="R15" s="51"/>
      <c r="S15" s="51"/>
      <c r="T15" s="51"/>
      <c r="U15" s="51"/>
      <c r="V15" s="51"/>
      <c r="W15" s="51"/>
    </row>
    <row r="16" spans="2:23" ht="17.100000000000001" customHeight="1" x14ac:dyDescent="0.25">
      <c r="B16" s="28" t="s">
        <v>176</v>
      </c>
      <c r="C16" s="33" t="s">
        <v>177</v>
      </c>
      <c r="D16" s="28" t="s">
        <v>206</v>
      </c>
      <c r="E16" s="28" t="s">
        <v>274</v>
      </c>
      <c r="F16" s="28" t="s">
        <v>275</v>
      </c>
      <c r="G16" s="28" t="s">
        <v>276</v>
      </c>
      <c r="H16" s="28" t="s">
        <v>277</v>
      </c>
      <c r="I16" s="28" t="s">
        <v>278</v>
      </c>
      <c r="J16" s="31" t="s">
        <v>131</v>
      </c>
      <c r="K16" s="51"/>
      <c r="L16" s="51"/>
      <c r="M16" s="51"/>
      <c r="N16" s="51"/>
      <c r="O16" s="51"/>
      <c r="P16" s="51"/>
      <c r="R16" s="51"/>
      <c r="S16" s="51"/>
      <c r="T16" s="51"/>
      <c r="U16" s="51"/>
      <c r="V16" s="51"/>
      <c r="W16" s="51"/>
    </row>
    <row r="17" spans="2:23" ht="17.100000000000001" customHeight="1" x14ac:dyDescent="0.25">
      <c r="B17" s="51" t="s">
        <v>178</v>
      </c>
      <c r="C17" s="33" t="s">
        <v>179</v>
      </c>
      <c r="D17" s="28" t="s">
        <v>207</v>
      </c>
      <c r="E17" s="28" t="s">
        <v>279</v>
      </c>
      <c r="F17" s="28" t="s">
        <v>280</v>
      </c>
      <c r="G17" s="28" t="s">
        <v>281</v>
      </c>
      <c r="H17" s="28" t="s">
        <v>282</v>
      </c>
      <c r="I17" s="28" t="s">
        <v>283</v>
      </c>
      <c r="J17" s="31" t="s">
        <v>223</v>
      </c>
      <c r="K17" s="51"/>
      <c r="L17" s="51"/>
      <c r="M17" s="51"/>
      <c r="N17" s="51"/>
      <c r="O17" s="51"/>
      <c r="P17" s="51"/>
      <c r="R17" s="51"/>
      <c r="S17" s="51"/>
      <c r="T17" s="51"/>
      <c r="U17" s="51"/>
      <c r="V17" s="51"/>
      <c r="W17" s="51"/>
    </row>
    <row r="18" spans="2:23" ht="17.100000000000001" customHeight="1" x14ac:dyDescent="0.25">
      <c r="B18" s="51"/>
      <c r="C18" s="33" t="s">
        <v>180</v>
      </c>
      <c r="D18" s="28" t="s">
        <v>208</v>
      </c>
      <c r="E18" s="28" t="s">
        <v>284</v>
      </c>
      <c r="F18" s="28" t="s">
        <v>285</v>
      </c>
      <c r="G18" s="28" t="s">
        <v>286</v>
      </c>
      <c r="H18" s="28" t="s">
        <v>287</v>
      </c>
      <c r="I18" s="28" t="s">
        <v>288</v>
      </c>
      <c r="J18" s="31" t="s">
        <v>223</v>
      </c>
      <c r="K18" s="51"/>
      <c r="L18" s="51"/>
      <c r="M18" s="51"/>
      <c r="N18" s="51"/>
      <c r="O18" s="51"/>
      <c r="P18" s="51"/>
    </row>
    <row r="19" spans="2:23" ht="17.100000000000001" customHeight="1" x14ac:dyDescent="0.25">
      <c r="B19" s="51"/>
      <c r="C19" s="33" t="s">
        <v>181</v>
      </c>
      <c r="D19" s="28" t="s">
        <v>209</v>
      </c>
      <c r="E19" s="28" t="s">
        <v>289</v>
      </c>
      <c r="F19" s="28" t="s">
        <v>290</v>
      </c>
      <c r="G19" s="28" t="s">
        <v>291</v>
      </c>
      <c r="H19" s="28" t="s">
        <v>292</v>
      </c>
      <c r="I19" s="28" t="s">
        <v>293</v>
      </c>
      <c r="J19" s="31" t="s">
        <v>223</v>
      </c>
      <c r="K19" s="51"/>
      <c r="L19" s="51"/>
      <c r="M19" s="51"/>
      <c r="N19" s="51"/>
      <c r="O19" s="51"/>
      <c r="P19" s="51"/>
      <c r="R19" s="52" t="s">
        <v>222</v>
      </c>
      <c r="S19" s="52"/>
      <c r="T19" s="52"/>
      <c r="U19" s="52"/>
      <c r="V19" s="52"/>
      <c r="W19" s="52"/>
    </row>
    <row r="20" spans="2:23" ht="17.100000000000001" customHeight="1" x14ac:dyDescent="0.25">
      <c r="B20" s="51"/>
      <c r="C20" s="33" t="s">
        <v>182</v>
      </c>
      <c r="D20" s="28" t="s">
        <v>210</v>
      </c>
      <c r="E20" s="28" t="s">
        <v>294</v>
      </c>
      <c r="F20" s="28" t="s">
        <v>295</v>
      </c>
      <c r="G20" s="28" t="s">
        <v>296</v>
      </c>
      <c r="H20" s="28" t="s">
        <v>297</v>
      </c>
      <c r="I20" s="28" t="s">
        <v>298</v>
      </c>
      <c r="J20" s="31" t="s">
        <v>223</v>
      </c>
      <c r="K20" s="51"/>
      <c r="L20" s="51"/>
      <c r="M20" s="51"/>
      <c r="N20" s="51"/>
      <c r="O20" s="51"/>
      <c r="P20" s="51"/>
      <c r="R20" s="51" t="e" vm="4">
        <v>#VALUE!</v>
      </c>
      <c r="S20" s="51"/>
      <c r="T20" s="51"/>
      <c r="U20" s="51"/>
      <c r="V20" s="51"/>
      <c r="W20" s="51"/>
    </row>
    <row r="21" spans="2:23" ht="17.100000000000001" customHeight="1" x14ac:dyDescent="0.25">
      <c r="B21" s="51" t="s">
        <v>183</v>
      </c>
      <c r="C21" s="33">
        <v>2025</v>
      </c>
      <c r="D21" s="28" t="s">
        <v>211</v>
      </c>
      <c r="E21" s="31" t="s">
        <v>299</v>
      </c>
      <c r="F21" s="28" t="s">
        <v>300</v>
      </c>
      <c r="G21" s="28" t="s">
        <v>301</v>
      </c>
      <c r="H21" s="28" t="s">
        <v>302</v>
      </c>
      <c r="I21" s="28" t="s">
        <v>303</v>
      </c>
      <c r="J21" s="31" t="s">
        <v>223</v>
      </c>
      <c r="K21" s="51"/>
      <c r="L21" s="51"/>
      <c r="M21" s="51"/>
      <c r="N21" s="51"/>
      <c r="O21" s="51"/>
      <c r="P21" s="51"/>
      <c r="R21" s="51"/>
      <c r="S21" s="51"/>
      <c r="T21" s="51"/>
      <c r="U21" s="51"/>
      <c r="V21" s="51"/>
      <c r="W21" s="51"/>
    </row>
    <row r="22" spans="2:23" ht="17.100000000000001" customHeight="1" x14ac:dyDescent="0.25">
      <c r="B22" s="51"/>
      <c r="C22" s="33">
        <v>2035</v>
      </c>
      <c r="D22" s="28" t="s">
        <v>212</v>
      </c>
      <c r="E22" s="28" t="s">
        <v>304</v>
      </c>
      <c r="F22" s="28" t="s">
        <v>305</v>
      </c>
      <c r="G22" s="28" t="s">
        <v>306</v>
      </c>
      <c r="H22" s="28" t="s">
        <v>307</v>
      </c>
      <c r="I22" s="28" t="s">
        <v>308</v>
      </c>
      <c r="J22" s="31" t="s">
        <v>223</v>
      </c>
      <c r="K22" s="51"/>
      <c r="L22" s="51"/>
      <c r="M22" s="51"/>
      <c r="N22" s="51"/>
      <c r="O22" s="51"/>
      <c r="P22" s="51"/>
      <c r="R22" s="51"/>
      <c r="S22" s="51"/>
      <c r="T22" s="51"/>
      <c r="U22" s="51"/>
      <c r="V22" s="51"/>
      <c r="W22" s="51"/>
    </row>
    <row r="23" spans="2:23" ht="17.100000000000001" customHeight="1" x14ac:dyDescent="0.25">
      <c r="B23" s="51"/>
      <c r="C23" s="33">
        <v>2045</v>
      </c>
      <c r="D23" s="28" t="s">
        <v>213</v>
      </c>
      <c r="E23" s="28" t="s">
        <v>309</v>
      </c>
      <c r="F23" s="28" t="s">
        <v>310</v>
      </c>
      <c r="G23" s="28" t="s">
        <v>311</v>
      </c>
      <c r="H23" s="28" t="s">
        <v>312</v>
      </c>
      <c r="I23" s="28" t="s">
        <v>313</v>
      </c>
      <c r="J23" s="31" t="s">
        <v>223</v>
      </c>
      <c r="K23" s="51"/>
      <c r="L23" s="51"/>
      <c r="M23" s="51"/>
      <c r="N23" s="51"/>
      <c r="O23" s="51"/>
      <c r="P23" s="51"/>
      <c r="R23" s="51"/>
      <c r="S23" s="51"/>
      <c r="T23" s="51"/>
      <c r="U23" s="51"/>
      <c r="V23" s="51"/>
      <c r="W23" s="51"/>
    </row>
    <row r="24" spans="2:23" ht="17.100000000000001" customHeight="1" x14ac:dyDescent="0.25">
      <c r="B24" s="51"/>
      <c r="C24" s="33">
        <v>2055</v>
      </c>
      <c r="D24" s="28" t="s">
        <v>206</v>
      </c>
      <c r="E24" s="28" t="s">
        <v>314</v>
      </c>
      <c r="F24" s="28" t="s">
        <v>315</v>
      </c>
      <c r="G24" s="28" t="s">
        <v>316</v>
      </c>
      <c r="H24" s="28" t="s">
        <v>317</v>
      </c>
      <c r="I24" s="28" t="s">
        <v>318</v>
      </c>
      <c r="J24" s="31" t="s">
        <v>223</v>
      </c>
      <c r="K24" s="51"/>
      <c r="L24" s="51"/>
      <c r="M24" s="51"/>
      <c r="N24" s="51"/>
      <c r="O24" s="51"/>
      <c r="P24" s="51"/>
      <c r="R24" s="51"/>
      <c r="S24" s="51"/>
      <c r="T24" s="51"/>
      <c r="U24" s="51"/>
      <c r="V24" s="51"/>
      <c r="W24" s="51"/>
    </row>
    <row r="25" spans="2:23" ht="17.100000000000001" customHeight="1" x14ac:dyDescent="0.25">
      <c r="B25" s="51"/>
      <c r="C25" s="34" t="s">
        <v>184</v>
      </c>
      <c r="D25" s="28" t="s">
        <v>214</v>
      </c>
      <c r="E25" s="28"/>
      <c r="F25" s="28"/>
      <c r="G25" s="28"/>
      <c r="H25" s="28"/>
      <c r="I25" s="28"/>
      <c r="K25" s="51"/>
      <c r="L25" s="51"/>
      <c r="M25" s="51"/>
      <c r="N25" s="51"/>
      <c r="O25" s="51"/>
      <c r="P25" s="51"/>
      <c r="R25" s="51"/>
      <c r="S25" s="51"/>
      <c r="T25" s="51"/>
      <c r="U25" s="51"/>
      <c r="V25" s="51"/>
      <c r="W25" s="51"/>
    </row>
    <row r="26" spans="2:23" ht="17.100000000000001" customHeight="1" x14ac:dyDescent="0.25">
      <c r="B26" s="51" t="s">
        <v>185</v>
      </c>
      <c r="C26" s="34" t="s">
        <v>186</v>
      </c>
      <c r="D26" s="29" t="s">
        <v>196</v>
      </c>
      <c r="E26" s="28"/>
      <c r="F26" s="28"/>
      <c r="G26" s="28"/>
      <c r="H26" s="28"/>
      <c r="I26" s="28"/>
      <c r="K26" s="51"/>
      <c r="L26" s="51"/>
      <c r="M26" s="51"/>
      <c r="N26" s="51"/>
      <c r="O26" s="51"/>
      <c r="P26" s="51"/>
      <c r="R26" s="51"/>
      <c r="S26" s="51"/>
      <c r="T26" s="51"/>
      <c r="U26" s="51"/>
      <c r="V26" s="51"/>
      <c r="W26" s="51"/>
    </row>
    <row r="27" spans="2:23" ht="17.100000000000001" customHeight="1" x14ac:dyDescent="0.25">
      <c r="B27" s="51"/>
      <c r="C27" s="34" t="s">
        <v>187</v>
      </c>
      <c r="D27" s="28" t="s">
        <v>215</v>
      </c>
      <c r="E27" s="28"/>
      <c r="F27" s="28"/>
      <c r="G27" s="28"/>
      <c r="H27" s="28"/>
      <c r="I27" s="28"/>
      <c r="K27" s="51"/>
      <c r="L27" s="51"/>
      <c r="M27" s="51"/>
      <c r="N27" s="51"/>
      <c r="O27" s="51"/>
      <c r="P27" s="51"/>
      <c r="R27" s="51"/>
      <c r="S27" s="51"/>
      <c r="T27" s="51"/>
      <c r="U27" s="51"/>
      <c r="V27" s="51"/>
      <c r="W27" s="51"/>
    </row>
    <row r="28" spans="2:23" ht="17.100000000000001" customHeight="1" x14ac:dyDescent="0.25">
      <c r="B28" s="51" t="s">
        <v>188</v>
      </c>
      <c r="C28" s="34" t="s">
        <v>189</v>
      </c>
      <c r="D28" s="28"/>
      <c r="E28" s="28"/>
      <c r="F28" s="28"/>
      <c r="G28" s="28"/>
      <c r="H28" s="28"/>
      <c r="I28" s="28"/>
      <c r="K28" s="51"/>
      <c r="L28" s="51"/>
      <c r="M28" s="51"/>
      <c r="N28" s="51"/>
      <c r="O28" s="51"/>
      <c r="P28" s="51"/>
      <c r="R28" s="51"/>
      <c r="S28" s="51"/>
      <c r="T28" s="51"/>
      <c r="U28" s="51"/>
      <c r="V28" s="51"/>
      <c r="W28" s="51"/>
    </row>
    <row r="29" spans="2:23" ht="17.100000000000001" customHeight="1" x14ac:dyDescent="0.25">
      <c r="B29" s="51"/>
      <c r="C29" s="34" t="s">
        <v>190</v>
      </c>
      <c r="D29" s="28"/>
      <c r="E29" s="28"/>
      <c r="F29" s="28"/>
      <c r="G29" s="28"/>
      <c r="H29" s="28"/>
      <c r="I29" s="28"/>
      <c r="K29" s="51"/>
      <c r="L29" s="51"/>
      <c r="M29" s="51"/>
      <c r="N29" s="51"/>
      <c r="O29" s="51"/>
      <c r="P29" s="51"/>
      <c r="R29" s="51"/>
      <c r="S29" s="51"/>
      <c r="T29" s="51"/>
      <c r="U29" s="51"/>
      <c r="V29" s="51"/>
      <c r="W29" s="51"/>
    </row>
    <row r="30" spans="2:23" ht="17.100000000000001" customHeight="1" x14ac:dyDescent="0.25">
      <c r="B30" s="51"/>
      <c r="C30" s="35" t="s">
        <v>191</v>
      </c>
      <c r="D30" s="32" t="s">
        <v>216</v>
      </c>
      <c r="E30" s="28"/>
      <c r="F30" s="28"/>
      <c r="G30" s="28"/>
      <c r="H30" s="28"/>
      <c r="I30" s="28"/>
      <c r="K30" s="51"/>
      <c r="L30" s="51"/>
      <c r="M30" s="51"/>
      <c r="N30" s="51"/>
      <c r="O30" s="51"/>
      <c r="P30" s="51"/>
      <c r="R30" s="51"/>
      <c r="S30" s="51"/>
      <c r="T30" s="51"/>
      <c r="U30" s="51"/>
      <c r="V30" s="51"/>
      <c r="W30" s="51"/>
    </row>
    <row r="31" spans="2:23" ht="17.100000000000001" customHeight="1" x14ac:dyDescent="0.25">
      <c r="B31" s="51" t="s">
        <v>192</v>
      </c>
      <c r="C31" s="34" t="s">
        <v>193</v>
      </c>
      <c r="D31" s="28" t="s">
        <v>217</v>
      </c>
      <c r="E31" s="28"/>
      <c r="F31" s="28"/>
      <c r="G31" s="28"/>
      <c r="H31" s="28"/>
      <c r="I31" s="28"/>
      <c r="K31" s="51"/>
      <c r="L31" s="51"/>
      <c r="M31" s="51"/>
      <c r="N31" s="51"/>
      <c r="O31" s="51"/>
      <c r="P31" s="51"/>
      <c r="R31" s="51"/>
      <c r="S31" s="51"/>
      <c r="T31" s="51"/>
      <c r="U31" s="51"/>
      <c r="V31" s="51"/>
      <c r="W31" s="51"/>
    </row>
    <row r="32" spans="2:23" ht="17.100000000000001" customHeight="1" x14ac:dyDescent="0.25">
      <c r="B32" s="51"/>
      <c r="C32" s="34" t="s">
        <v>194</v>
      </c>
      <c r="D32" s="28" t="s">
        <v>217</v>
      </c>
      <c r="E32" s="28"/>
      <c r="F32" s="28"/>
      <c r="G32" s="28"/>
      <c r="H32" s="28"/>
      <c r="I32" s="28"/>
      <c r="K32" s="51"/>
      <c r="L32" s="51"/>
      <c r="M32" s="51"/>
      <c r="N32" s="51"/>
      <c r="O32" s="51"/>
      <c r="P32" s="51"/>
      <c r="R32" s="51"/>
      <c r="S32" s="51"/>
      <c r="T32" s="51"/>
      <c r="U32" s="51"/>
      <c r="V32" s="51"/>
      <c r="W32" s="51"/>
    </row>
    <row r="33" spans="11:23" x14ac:dyDescent="0.25">
      <c r="K33" s="51"/>
      <c r="L33" s="51"/>
      <c r="M33" s="51"/>
      <c r="N33" s="51"/>
      <c r="O33" s="51"/>
      <c r="P33" s="51"/>
      <c r="R33" s="51"/>
      <c r="S33" s="51"/>
      <c r="T33" s="51"/>
      <c r="U33" s="51"/>
      <c r="V33" s="51"/>
      <c r="W33" s="51"/>
    </row>
    <row r="34" spans="11:23" x14ac:dyDescent="0.25">
      <c r="K34" s="1"/>
      <c r="L34" s="1"/>
      <c r="M34" s="1"/>
      <c r="N34" s="1"/>
      <c r="O34" s="1"/>
      <c r="P34" s="1"/>
    </row>
    <row r="35" spans="11:23" x14ac:dyDescent="0.25">
      <c r="K35" s="1"/>
      <c r="L35" s="1"/>
      <c r="M35" s="1"/>
      <c r="N35" s="1"/>
      <c r="O35" s="1"/>
      <c r="P35" s="1"/>
    </row>
    <row r="36" spans="11:23" x14ac:dyDescent="0.25">
      <c r="K36" s="1"/>
      <c r="L36" s="1"/>
      <c r="M36" s="1"/>
      <c r="N36" s="1"/>
      <c r="O36" s="1"/>
      <c r="P36" s="1"/>
    </row>
    <row r="37" spans="11:23" x14ac:dyDescent="0.25">
      <c r="K37" s="1"/>
      <c r="L37" s="1"/>
      <c r="M37" s="1"/>
      <c r="N37" s="1"/>
      <c r="O37" s="1"/>
      <c r="P37" s="1"/>
    </row>
    <row r="38" spans="11:23" x14ac:dyDescent="0.25">
      <c r="K38" s="1"/>
      <c r="L38" s="1"/>
      <c r="M38" s="1"/>
      <c r="N38" s="1"/>
      <c r="O38" s="1"/>
      <c r="P38" s="1"/>
    </row>
    <row r="39" spans="11:23" x14ac:dyDescent="0.25">
      <c r="K39" s="1"/>
      <c r="L39" s="1"/>
      <c r="M39" s="1"/>
      <c r="N39" s="1"/>
      <c r="O39" s="1"/>
      <c r="P39" s="1"/>
    </row>
    <row r="40" spans="11:23" x14ac:dyDescent="0.25">
      <c r="K40" s="1"/>
      <c r="L40" s="1"/>
      <c r="M40" s="1"/>
      <c r="N40" s="1"/>
      <c r="O40" s="1"/>
      <c r="P40" s="1"/>
    </row>
    <row r="41" spans="11:23" x14ac:dyDescent="0.25">
      <c r="K41" s="1"/>
      <c r="L41" s="1"/>
      <c r="M41" s="1"/>
      <c r="N41" s="1"/>
      <c r="O41" s="1"/>
      <c r="P41" s="1"/>
    </row>
  </sheetData>
  <mergeCells count="17">
    <mergeCell ref="K14:P33"/>
    <mergeCell ref="R3:W3"/>
    <mergeCell ref="R4:W17"/>
    <mergeCell ref="R19:W19"/>
    <mergeCell ref="R20:W33"/>
    <mergeCell ref="K3:P3"/>
    <mergeCell ref="K4:P11"/>
    <mergeCell ref="K13:P13"/>
    <mergeCell ref="B26:B27"/>
    <mergeCell ref="B28:B30"/>
    <mergeCell ref="B31:B32"/>
    <mergeCell ref="B4:B8"/>
    <mergeCell ref="B9:B11"/>
    <mergeCell ref="B12:B13"/>
    <mergeCell ref="B14:B15"/>
    <mergeCell ref="B17:B20"/>
    <mergeCell ref="B21:B25"/>
  </mergeCells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8103-C989-4F7B-B4BC-6366540EA5F9}">
  <dimension ref="A1:Q10"/>
  <sheetViews>
    <sheetView workbookViewId="0">
      <selection activeCell="C14" sqref="C14"/>
    </sheetView>
  </sheetViews>
  <sheetFormatPr defaultRowHeight="15" x14ac:dyDescent="0.25"/>
  <cols>
    <col min="1" max="1" width="23.85546875" customWidth="1"/>
    <col min="3" max="3" width="19.5703125" bestFit="1" customWidth="1"/>
    <col min="4" max="4" width="13.85546875" bestFit="1" customWidth="1"/>
    <col min="5" max="5" width="21.5703125" customWidth="1"/>
    <col min="6" max="6" width="15.7109375" bestFit="1" customWidth="1"/>
    <col min="7" max="10" width="15.7109375" customWidth="1"/>
    <col min="11" max="11" width="13.5703125" customWidth="1"/>
    <col min="12" max="12" width="10.5703125" customWidth="1"/>
  </cols>
  <sheetData>
    <row r="1" spans="1:17" x14ac:dyDescent="0.25">
      <c r="B1" t="s">
        <v>126</v>
      </c>
    </row>
    <row r="4" spans="1:17" x14ac:dyDescent="0.25">
      <c r="B4" s="3" t="s">
        <v>20</v>
      </c>
      <c r="C4" s="3" t="s">
        <v>2</v>
      </c>
      <c r="D4" s="3" t="s">
        <v>5</v>
      </c>
      <c r="E4" s="13" t="s">
        <v>3</v>
      </c>
      <c r="F4" s="3" t="s">
        <v>4</v>
      </c>
      <c r="G4" s="49" t="s">
        <v>30</v>
      </c>
      <c r="H4" s="50"/>
      <c r="I4" s="47" t="s">
        <v>31</v>
      </c>
      <c r="J4" s="48"/>
      <c r="K4" s="3" t="s">
        <v>129</v>
      </c>
      <c r="L4" s="3" t="s">
        <v>130</v>
      </c>
    </row>
    <row r="5" spans="1:17" x14ac:dyDescent="0.25">
      <c r="B5" s="5" t="s">
        <v>127</v>
      </c>
      <c r="C5" s="5" t="s">
        <v>38</v>
      </c>
      <c r="D5" s="6" t="s">
        <v>128</v>
      </c>
      <c r="E5" s="5" t="s">
        <v>15</v>
      </c>
      <c r="F5" s="14" t="s">
        <v>6</v>
      </c>
      <c r="G5" s="18"/>
      <c r="H5" s="18"/>
      <c r="I5" s="18"/>
      <c r="J5" s="18"/>
    </row>
    <row r="6" spans="1:17" x14ac:dyDescent="0.25">
      <c r="B6" s="5" t="s">
        <v>127</v>
      </c>
      <c r="C6" s="5" t="s">
        <v>38</v>
      </c>
      <c r="D6" s="6" t="s">
        <v>128</v>
      </c>
      <c r="E6" s="5" t="s">
        <v>16</v>
      </c>
      <c r="F6" s="5" t="s">
        <v>14</v>
      </c>
      <c r="G6" s="18"/>
      <c r="H6" s="18"/>
      <c r="I6" s="18"/>
      <c r="J6" s="18"/>
    </row>
    <row r="7" spans="1:17" x14ac:dyDescent="0.25">
      <c r="B7" s="5" t="s">
        <v>127</v>
      </c>
      <c r="C7" s="5" t="s">
        <v>38</v>
      </c>
      <c r="D7" s="6" t="s">
        <v>128</v>
      </c>
      <c r="E7" s="5" t="s">
        <v>17</v>
      </c>
      <c r="F7" s="5" t="s">
        <v>12</v>
      </c>
      <c r="G7" s="18"/>
      <c r="H7" s="18"/>
      <c r="I7" s="18"/>
      <c r="J7" s="18"/>
    </row>
    <row r="8" spans="1:17" x14ac:dyDescent="0.25">
      <c r="B8" s="5" t="s">
        <v>127</v>
      </c>
      <c r="C8" s="5" t="s">
        <v>38</v>
      </c>
      <c r="D8" s="6" t="s">
        <v>128</v>
      </c>
      <c r="E8" s="5" t="s">
        <v>18</v>
      </c>
      <c r="F8" s="5" t="s">
        <v>6</v>
      </c>
      <c r="G8" s="18"/>
      <c r="H8" s="18"/>
      <c r="I8" s="18"/>
      <c r="J8" s="18"/>
    </row>
    <row r="9" spans="1:17" x14ac:dyDescent="0.25">
      <c r="A9" s="4" t="s">
        <v>95</v>
      </c>
      <c r="B9" s="5" t="s">
        <v>0</v>
      </c>
      <c r="C9" s="5" t="s">
        <v>0</v>
      </c>
      <c r="D9" s="6" t="s">
        <v>7</v>
      </c>
      <c r="E9" s="5" t="s">
        <v>11</v>
      </c>
      <c r="F9" s="5" t="s">
        <v>6</v>
      </c>
      <c r="G9" s="10">
        <v>5.7</v>
      </c>
      <c r="H9" s="11">
        <v>5.9</v>
      </c>
      <c r="I9" s="8">
        <f>IF(G9="N/A","N/A",CONVERT(G9,"in","mm"))</f>
        <v>144.78</v>
      </c>
      <c r="J9" s="8">
        <f>IF(H9="N/A","N/A",CONVERT(H9,"in","mm"))</f>
        <v>149.85999999999999</v>
      </c>
      <c r="K9" s="9" t="s">
        <v>98</v>
      </c>
      <c r="L9" s="9" t="s">
        <v>99</v>
      </c>
      <c r="M9" s="9" t="s">
        <v>131</v>
      </c>
      <c r="N9" s="8"/>
      <c r="O9" s="8"/>
      <c r="P9" s="9"/>
      <c r="Q9" s="9"/>
    </row>
    <row r="10" spans="1:17" x14ac:dyDescent="0.25">
      <c r="A10" s="4" t="s">
        <v>95</v>
      </c>
      <c r="B10" s="5" t="s">
        <v>0</v>
      </c>
      <c r="C10" s="5" t="s">
        <v>0</v>
      </c>
      <c r="D10" s="5" t="s">
        <v>26</v>
      </c>
      <c r="E10" s="5" t="s">
        <v>11</v>
      </c>
      <c r="F10" s="5" t="s">
        <v>6</v>
      </c>
      <c r="G10" s="5">
        <v>4.4000000000000004</v>
      </c>
      <c r="H10" s="5">
        <v>4.5999999999999996</v>
      </c>
      <c r="I10" s="8">
        <f>IF(G10="N/A","N/A",CONVERT(G10,"in","mm"))</f>
        <v>111.76</v>
      </c>
      <c r="J10" s="8">
        <f>IF(H10="N/A","N/A",CONVERT(H10,"in","mm"))</f>
        <v>116.84</v>
      </c>
      <c r="K10" s="9" t="s">
        <v>100</v>
      </c>
      <c r="L10" s="5" t="s">
        <v>101</v>
      </c>
      <c r="M10" s="5" t="s">
        <v>131</v>
      </c>
      <c r="N10" s="8"/>
      <c r="O10" s="8"/>
      <c r="P10" s="9"/>
      <c r="Q10" s="5"/>
    </row>
  </sheetData>
  <mergeCells count="2"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7:A9"/>
  <sheetViews>
    <sheetView workbookViewId="0">
      <selection activeCell="C10" sqref="C10"/>
    </sheetView>
  </sheetViews>
  <sheetFormatPr defaultRowHeight="15" x14ac:dyDescent="0.25"/>
  <sheetData>
    <row r="7" spans="1:1" x14ac:dyDescent="0.25">
      <c r="A7" t="s">
        <v>35</v>
      </c>
    </row>
    <row r="8" spans="1:1" x14ac:dyDescent="0.25">
      <c r="A8" t="s">
        <v>33</v>
      </c>
    </row>
    <row r="9" spans="1:1" x14ac:dyDescent="0.25">
      <c r="A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B8EE-7580-4666-8E28-A3232D7FD919}">
  <dimension ref="A1:B17"/>
  <sheetViews>
    <sheetView workbookViewId="0">
      <selection activeCell="G12" sqref="G12"/>
    </sheetView>
  </sheetViews>
  <sheetFormatPr defaultRowHeight="15" x14ac:dyDescent="0.25"/>
  <sheetData>
    <row r="1" spans="1:2" x14ac:dyDescent="0.25">
      <c r="A1" t="s">
        <v>137</v>
      </c>
    </row>
    <row r="2" spans="1:2" x14ac:dyDescent="0.25">
      <c r="B2" t="s">
        <v>135</v>
      </c>
    </row>
    <row r="3" spans="1:2" x14ac:dyDescent="0.25">
      <c r="B3" s="20" t="s">
        <v>136</v>
      </c>
    </row>
    <row r="4" spans="1:2" x14ac:dyDescent="0.25">
      <c r="B4" s="20" t="s">
        <v>138</v>
      </c>
    </row>
    <row r="5" spans="1:2" x14ac:dyDescent="0.25">
      <c r="B5" s="21" t="s">
        <v>139</v>
      </c>
    </row>
    <row r="6" spans="1:2" x14ac:dyDescent="0.25">
      <c r="B6" s="20" t="s">
        <v>140</v>
      </c>
    </row>
    <row r="7" spans="1:2" x14ac:dyDescent="0.25">
      <c r="B7" s="20" t="s">
        <v>141</v>
      </c>
    </row>
    <row r="8" spans="1:2" x14ac:dyDescent="0.25">
      <c r="B8" s="20" t="s">
        <v>142</v>
      </c>
    </row>
    <row r="9" spans="1:2" x14ac:dyDescent="0.25">
      <c r="B9" s="21" t="s">
        <v>143</v>
      </c>
    </row>
    <row r="10" spans="1:2" x14ac:dyDescent="0.25">
      <c r="B10" s="22" t="s">
        <v>144</v>
      </c>
    </row>
    <row r="11" spans="1:2" x14ac:dyDescent="0.25">
      <c r="B11" s="23" t="s">
        <v>145</v>
      </c>
    </row>
    <row r="15" spans="1:2" ht="15.75" x14ac:dyDescent="0.25">
      <c r="A15" s="19" t="s">
        <v>133</v>
      </c>
    </row>
    <row r="16" spans="1:2" ht="15.75" x14ac:dyDescent="0.25">
      <c r="A16" s="19"/>
      <c r="B16" t="s">
        <v>134</v>
      </c>
    </row>
    <row r="17" spans="1:1" x14ac:dyDescent="0.25">
      <c r="A17" t="s">
        <v>132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Configs</vt:lpstr>
      <vt:lpstr>Cleanroom Configs</vt:lpstr>
      <vt:lpstr>Wish List</vt:lpstr>
      <vt:lpstr>Notes</vt:lpstr>
      <vt:lpstr>Beta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</dc:creator>
  <cp:lastModifiedBy>Chenla Long, Jr</cp:lastModifiedBy>
  <dcterms:created xsi:type="dcterms:W3CDTF">2024-04-10T18:24:21Z</dcterms:created>
  <dcterms:modified xsi:type="dcterms:W3CDTF">2026-01-07T15:39:03Z</dcterms:modified>
</cp:coreProperties>
</file>