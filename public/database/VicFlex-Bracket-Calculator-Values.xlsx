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Online-Sync\Victaulic\Projects\Applications Engineering\VicFlex\"/>
    </mc:Choice>
  </mc:AlternateContent>
  <xr:revisionPtr revIDLastSave="0" documentId="13_ncr:1_{1783F333-50BF-4D6F-8511-460E6807439B}" xr6:coauthVersionLast="47" xr6:coauthVersionMax="47" xr10:uidLastSave="{00000000-0000-0000-0000-000000000000}"/>
  <bookViews>
    <workbookView xWindow="-23148" yWindow="-108" windowWidth="23256" windowHeight="12456" xr2:uid="{46D41EBC-D103-4872-94AA-10D0E0BB3246}"/>
  </bookViews>
  <sheets>
    <sheet name="Configs" sheetId="7" r:id="rId1"/>
    <sheet name="Calculator" sheetId="9" r:id="rId2"/>
    <sheet name="Notes" sheetId="8" r:id="rId3"/>
  </sheets>
  <definedNames>
    <definedName name="Extrapolation">#REF!</definedName>
    <definedName name="Picture">INDIRECT(#REF!)</definedName>
    <definedName name="summation">#REF!</definedName>
    <definedName name="VB3_Conceale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3" i="7" l="1"/>
  <c r="I33" i="7"/>
  <c r="J32" i="7"/>
  <c r="I32" i="7"/>
  <c r="J31" i="7"/>
  <c r="I31" i="7"/>
  <c r="J30" i="7"/>
  <c r="I30" i="7"/>
  <c r="J29" i="7"/>
  <c r="I29" i="7"/>
  <c r="J28" i="7"/>
  <c r="I28" i="7"/>
  <c r="J27" i="7"/>
  <c r="I27" i="7"/>
  <c r="J26" i="7"/>
  <c r="I26" i="7"/>
  <c r="J25" i="7"/>
  <c r="I25" i="7"/>
  <c r="J24" i="7"/>
  <c r="I24" i="7"/>
  <c r="J23" i="7"/>
  <c r="I23" i="7"/>
  <c r="J22" i="7"/>
  <c r="I22" i="7"/>
  <c r="J21" i="7"/>
  <c r="I21" i="7"/>
  <c r="J20" i="7"/>
  <c r="I20" i="7"/>
  <c r="J19" i="7"/>
  <c r="I19" i="7"/>
  <c r="J18" i="7"/>
  <c r="I18" i="7"/>
  <c r="J17" i="7"/>
  <c r="I17" i="7"/>
  <c r="J16" i="7"/>
  <c r="I16" i="7"/>
  <c r="J15" i="7"/>
  <c r="I15" i="7"/>
  <c r="J14" i="7"/>
  <c r="I14" i="7"/>
  <c r="J13" i="7"/>
  <c r="I13" i="7"/>
  <c r="J12" i="7"/>
  <c r="I12" i="7"/>
  <c r="J11" i="7"/>
  <c r="I11" i="7"/>
  <c r="J10" i="7"/>
  <c r="I10" i="7"/>
  <c r="J9" i="7"/>
  <c r="I9" i="7"/>
  <c r="J8" i="7"/>
  <c r="I8" i="7"/>
  <c r="J7" i="7"/>
  <c r="I7" i="7"/>
  <c r="J6" i="7"/>
  <c r="I6" i="7"/>
  <c r="J5" i="7"/>
  <c r="I5" i="7"/>
  <c r="J4" i="7"/>
  <c r="I4" i="7"/>
  <c r="J3" i="7"/>
  <c r="I3" i="7"/>
</calcChain>
</file>

<file path=xl/sharedStrings.xml><?xml version="1.0" encoding="utf-8"?>
<sst xmlns="http://schemas.openxmlformats.org/spreadsheetml/2006/main" count="266" uniqueCount="119">
  <si>
    <t>VS1</t>
  </si>
  <si>
    <t>VB3</t>
  </si>
  <si>
    <t>Reducer</t>
  </si>
  <si>
    <t>Bracket Type</t>
  </si>
  <si>
    <t>Grid Type</t>
  </si>
  <si>
    <t>Sprinkler Type</t>
  </si>
  <si>
    <t>T Grid</t>
  </si>
  <si>
    <t>Concealed Pendent</t>
  </si>
  <si>
    <t xml:space="preserve">Recessed Pendent </t>
  </si>
  <si>
    <t>Sleeve &amp; Skirt Pendent</t>
  </si>
  <si>
    <t>VB2</t>
  </si>
  <si>
    <t>VB4</t>
  </si>
  <si>
    <t>Data Center Grid</t>
  </si>
  <si>
    <t>Wood/Metal Joist</t>
  </si>
  <si>
    <t>Hat Channel</t>
  </si>
  <si>
    <t>AB2</t>
  </si>
  <si>
    <t>AB4</t>
  </si>
  <si>
    <t>AB5</t>
  </si>
  <si>
    <t>AB7</t>
  </si>
  <si>
    <t>AB11</t>
  </si>
  <si>
    <t>Product</t>
  </si>
  <si>
    <t>VB5</t>
  </si>
  <si>
    <t>Ability to filter by product, reducer, sprinkler, bracket, grid</t>
  </si>
  <si>
    <t>Ability to filter by measurement (top of grid to ceiling face)</t>
  </si>
  <si>
    <t>Change "VB6" to "VB5"</t>
  </si>
  <si>
    <t>N/A</t>
  </si>
  <si>
    <t>Pack and Go</t>
  </si>
  <si>
    <t>Screenshot</t>
  </si>
  <si>
    <t>\\EN-SVR-4\CorpEng\Fire Safety\Sustaining Projects\VicFlex Bracket Calculator\Screenshots\VB2-Conc-Tgrid.png</t>
  </si>
  <si>
    <t>"\\EN-SVR-4\CorpEng\Fire Safety\Sustaining Projects\VicFlex Bracket Calculator\Pack and Go Model Files\VB2-Conc-Tgrid\AQF-A-000-013_LIT-01.SLDASM"</t>
  </si>
  <si>
    <t>"\\EN-SVR-4\CorpEng\Fire Safety\Sustaining Projects\VicFlex Bracket Calculator\Pack and Go Model Files\VB3-Conc-Tgrid\AQF-A-000-013_LIT-01.SLDASM"</t>
  </si>
  <si>
    <t>"\\EN-SVR-4\CorpEng\Fire Safety\Sustaining Projects\VicFlex Bracket Calculator\Pack and Go Model Files\VB4-Conc-Tgrid\AQF-A-000-013_LIT-01.SLDASM"</t>
  </si>
  <si>
    <t>Recessed Pendent</t>
  </si>
  <si>
    <t>"\\EN-SVR-4\CorpEng\Fire Safety\Sustaining Projects\VicFlex Bracket Calculator\Pack and Go Model Files\VB4-S&amp;S-Tgrid\AQF-A-000-034_LIT-01.SLDASM"</t>
  </si>
  <si>
    <t>"\\EN-SVR-4\CorpEng\Fire Safety\Sustaining Projects\VicFlex Bracket Calculator\Pack and Go Model Files\VB5-Rec-Data\AQF-A-000-103_LIT-01.SLDASM"</t>
  </si>
  <si>
    <t>\\EN-SVR-4\CorpEng\Fire Safety\Sustaining Projects\VicFlex Bracket Calculator\Pack and Go Model Files\VB5-Conc-Data\AQF-A-000-103_LIT-01.SLDASM</t>
  </si>
  <si>
    <t>AH1/2</t>
  </si>
  <si>
    <t>5-3/4" Straight</t>
  </si>
  <si>
    <t>Add metric units</t>
  </si>
  <si>
    <t>"D" min / max (inch)</t>
  </si>
  <si>
    <t>"D" min / max (mm)</t>
  </si>
  <si>
    <t>\\EN-SVR-4\CorpEng\Fire Safety\Sustaining Projects\VicFlex Bracket Calculator\Pack and Go Model Files\AB2-Rec-Tgrid\AQF-A-000-052_LIT-02.SLDASM</t>
  </si>
  <si>
    <t>Add note to all AH1/AH2 recessed pendents:  "Values provided are for V2708 sprinkler, values may be different for other sprinklers"</t>
  </si>
  <si>
    <t>Add note to all AH1/AH2 concealed pendents:  "Values provided are for V3802 sprinkler, values may be different for other sprinklers"</t>
  </si>
  <si>
    <t>Add note on recessed pendents:  "Values provided are for 3/4" adjustment escutcheon"</t>
  </si>
  <si>
    <t>Low profile Long Elbow</t>
  </si>
  <si>
    <t>Low profile Short Elbow</t>
  </si>
  <si>
    <t>Add note to all:  "The "D" dimension is defined as the distance from top of ceiling to finished ceiling panel face"</t>
  </si>
  <si>
    <t>Standard Long Elbow</t>
  </si>
  <si>
    <t>Standard Short Elbow</t>
  </si>
  <si>
    <t>\\EN-SVR-4\CorpEng\Fire Safety\Sustaining Projects\VicFlex Bracket Calculator\Pack and Go Model Files\AB2-Conc-Tgrid\AQF-A-000-052_LIT-02.SLDASM</t>
  </si>
  <si>
    <t>\\EN-SVR-4\CorpEng\Fire Safety\Sustaining Projects\VicFlex Bracket Calculator\Pack and Go Model Files\AB2-Rec-Joist\AQF-A-000-052_LIT-03.SLDASM</t>
  </si>
  <si>
    <t>\\EN-SVR-4\CorpEng\Fire Safety\Sustaining Projects\VicFlex Bracket Calculator\Pack and Go Model Files\AB5-Rec-Joist\AQF-A-000-052_LIT-04.SLDASM</t>
  </si>
  <si>
    <t>\\EN-SVR-4\CorpEng\Fire Safety\Sustaining Projects\VicFlex Bracket Calculator\Pack and Go Model Files\AB5-Conc-Joist\AQF-A-000-052_LIT-05.SLDASM</t>
  </si>
  <si>
    <t>\\EN-SVR-4\CorpEng\Fire Safety\Sustaining Projects\VicFlex Bracket Calculator\Pack and Go Model Files\AB5-Conc-Data\AQF-A-000-052_LIT-07.SLDASM</t>
  </si>
  <si>
    <t>\\EN-SVR-4\CorpEng\Fire Safety\Sustaining Projects\VicFlex Bracket Calculator\Screenshots\AB5-Rec-Joist.png</t>
  </si>
  <si>
    <t>\\EN-SVR-4\CorpEng\Fire Safety\Sustaining Projects\VicFlex Bracket Calculator\Screenshots\AB5-Conc-Joist.png</t>
  </si>
  <si>
    <t>\\EN-SVR-4\CorpEng\Fire Safety\Sustaining Projects\VicFlex Bracket Calculator\Screenshots\AB5-Rec-Data.png</t>
  </si>
  <si>
    <t>\\EN-SVR-4\CorpEng\Fire Safety\Sustaining Projects\VicFlex Bracket Calculator\Screenshots\AB7-Rec-Tgrid.png</t>
  </si>
  <si>
    <t>\\EN-SVR-4\CorpEng\Fire Safety\Sustaining Projects\VicFlex Bracket Calculator\Pack and Go Model Files\AB7-Conc-Tgrid\AB7-Conc_Tgrid.SLDASM</t>
  </si>
  <si>
    <t>\\EN-SVR-4\CorpEng\Fire Safety\Sustaining Projects\VicFlex Bracket Calculator\Screenshots\AB7-Conc-Tgrid.png</t>
  </si>
  <si>
    <t>\\EN-SVR-4\CorpEng\Fire Safety\Sustaining Projects\VicFlex Bracket Calculator\Pack and Go Model Files\AB11-Conc-Tgrid\AB11-Conc-Tgrid.SLDASM</t>
  </si>
  <si>
    <t>\\EN-SVR-4\CorpEng\Fire Safety\Sustaining Projects\VicFlex Bracket Calculator\Screenshots\AB11-Conc-Tgrid.png</t>
  </si>
  <si>
    <t>\\EN-SVR-4\CorpEng\Fire Safety\Sustaining Projects\VicFlex Bracket Calculator\Pack and Go Model Files\AB11-Rec-Tgrid\AB11-Rec-Tgrid.SLDASM</t>
  </si>
  <si>
    <t>\\EN-SVR-4\CorpEng\Fire Safety\Sustaining Projects\VicFlex Bracket Calculator\Screenshots\AB2-Rec-Tgrid-Stand-Long.png</t>
  </si>
  <si>
    <t>\\EN-SVR-4\CorpEng\Fire Safety\Sustaining Projects\VicFlex Bracket Calculator\Screenshots\AB2-Conc-Tgrid-Stand-Short.png</t>
  </si>
  <si>
    <t>\\EN-SVR-4\CorpEng\Fire Safety\Sustaining Projects\VicFlex Bracket Calculator\Pack and Go Model Files\AB2-Rec-Tgrid-Stand-Long\AB2-Rec-Tgrid-Stand-Long.SLDASM</t>
  </si>
  <si>
    <t>\\EN-SVR-4\CorpEng\Fire Safety\Sustaining Projects\VicFlex Bracket Calculator\Pack and Go Model Files\AB2-Conc-Tgrid-Stand-Short\Ab2-Conc-Tgrid-Stand-Short.SLDASM</t>
  </si>
  <si>
    <t>\\EN-SVR-4\CorpEng\Fire Safety\Sustaining Projects\VicFlex Bracket Calculator\Pack and Go Model Files\AB5-Rec-Data-Low Profile-Long\AB5-Rec-Data-Low-Long.SLDASM</t>
  </si>
  <si>
    <t>\\EN-SVR-4\CorpEng\Fire Safety\Sustaining Projects\VicFlex Bracket Calculator\Screenshots\AB5-Rec-Data-Low-Long.png</t>
  </si>
  <si>
    <t>\\EN-SVR-4\CorpEng\Fire Safety\Sustaining Projects\VicFlex Bracket Calculator\Pack and Go Model Files\AB5-Conc-Data-Low-Short\AB5-Conc-Low-Short.SLDASM</t>
  </si>
  <si>
    <t>\\EN-SVR-4\CorpEng\Fire Safety\Sustaining Projects\VicFlex Bracket Calculator\Screenshots\AB5-Conc-Data-Low-Short.png</t>
  </si>
  <si>
    <t>\\EN-SVR-4\CorpEng\Fire Safety\Sustaining Projects\VicFlex Bracket Calculator\Pack and Go Model Files\AB5-Rec-Data-Stand-Long\AB5-Rec-Data-Stand-Long.SLDASM</t>
  </si>
  <si>
    <t>\\EN-SVR-4\CorpEng\Fire Safety\Sustaining Projects\VicFlex Bracket Calculator\Screenshots\AB5-Rec-Data-Stand-Long.png</t>
  </si>
  <si>
    <t>\\EN-SVR-4\CorpEng\Fire Safety\Sustaining Projects\VicFlex Bracket Calculator\Pack and Go Model Files\AB5-Conc-Data-Stand-Short\AB5-Conc-Stand-Short.SLDASM</t>
  </si>
  <si>
    <t>\\EN-SVR-4\CorpEng\Fire Safety\Sustaining Projects\VicFlex Bracket Calculator\Pack and Go Model Files\AB7-Rec-Tgrid\AB7-Rec-Tgrid-Final.SLDASM</t>
  </si>
  <si>
    <t>\\EN-SVR-4\CorpEng\Fire Safety\Sustaining Projects\VicFlex Bracket Calculator\Pack and Go Model Files\AB7-Rec-Tgrid-Stand-Long\AB7-Rec-Tgrid-Stand-Long.SLDASM</t>
  </si>
  <si>
    <t>\\EN-SVR-4\CorpEng\Fire Safety\Sustaining Projects\VicFlex Bracket Calculator\Screenshots\AB7-Conc-Tgrid-Stand-Short.png</t>
  </si>
  <si>
    <t>\\EN-SVR-4\CorpEng\Fire Safety\Sustaining Projects\VicFlex Bracket Calculator\Pack and Go Model Files\AB2-Conc-Joist\AQF-A-000-052_LIT-01.SLDASM</t>
  </si>
  <si>
    <t>\\EN-SVR-4\CorpEng\Fire Safety\Sustaining Projects\VicFlex Bracket Calculator\Pack and Go Model Files\AB7-Conc-Tgrid-Stand-Short\AB7-Conc-Tgrid-Stand-Short.SLDASM</t>
  </si>
  <si>
    <t>\\EN-SVR-4\CorpEng\Fire Safety\Sustaining Projects\VicFlex Bracket Calculator\Screenshots\AB2-Conc-Tgrid.png</t>
  </si>
  <si>
    <t>\\EN-SVR-4\CorpEng\Fire Safety\Sustaining Projects\VicFlex Bracket Calculator\Screenshots\AB2-Rec-Joist.png</t>
  </si>
  <si>
    <t>\\EN-SVR-4\CorpEng\Fire Safety\Sustaining Projects\VicFlex Bracket Calculator\Pack and Go Model Files\AB4-Conc-Hat\AB4-Conc-Hat.SLDASM</t>
  </si>
  <si>
    <t>\\EN-SVR-4\CorpEng\Fire Safety\Sustaining Projects\VicFlex Bracket Calculator\Pack and Go Model Files\AB4-Rec-Hat\AB4-Rec-Hat.SLDASM</t>
  </si>
  <si>
    <t>\\EN-SVR-4\CorpEng\Fire Safety\Sustaining Projects\VicFlex Bracket Calculator\Screenshots\AB4-Conc-Hat.png</t>
  </si>
  <si>
    <t>\\EN-SVR-4\CorpEng\Fire Safety\Sustaining Projects\VicFlex Bracket Calculator\Screenshots\AB4-Rec-Hat.png</t>
  </si>
  <si>
    <t>\\EN-SVR-4\CorpEng\Fire Safety\Sustaining Projects\VicFlex Bracket Calculator\Pack and Go Model Files\AB4-Rec-Hat-Stand-Long\AB4-Rec-Hat-Stand-Long.SLDASM</t>
  </si>
  <si>
    <t>\\EN-SVR-4\CorpEng\Fire Safety\Sustaining Projects\VicFlex Bracket Calculator\Pack and Go Model Files\AB4-Conc-Hat-Stand-Short\AB4-Conc-Hat-Stand-Short.SLDASM</t>
  </si>
  <si>
    <t>\\EN-SVR-4\CorpEng\Fire Safety\Sustaining Projects\VicFlex Bracket Calculator\Screenshots\AB4-Rec-Hat-Stand-Long.png</t>
  </si>
  <si>
    <t>\\EN-SVR-4\CorpEng\Fire Safety\Sustaining Projects\VicFlex Bracket Calculator\Screenshots\AB4-Conc-Hat-Stand-Short.png</t>
  </si>
  <si>
    <t>\\EN-SVR-4\CorpEng\Fire Safety\Sustaining Projects\VicFlex Bracket Calculator\Pack and Go Model Files\AB5-Rec-Data\AB5-Rec-Data.SLDASM</t>
  </si>
  <si>
    <t>\\EN-SVR-4\CorpEng\Fire Safety\Sustaining Projects\VicFlex Bracket Calculator\Screenshots\VB2-Rec-Tgrid.png</t>
  </si>
  <si>
    <t>\\EN-SVR-4\CorpEng\Fire Safety\Sustaining Projects\VicFlex Bracket Calculator\Screenshots\VB3-Conc-Tgrid.png</t>
  </si>
  <si>
    <t>\\EN-SVR-4\CorpEng\Fire Safety\Sustaining Projects\VicFlex Bracket Calculator\Screenshots\VB4-Conc-Tgrid.png</t>
  </si>
  <si>
    <t>\\EN-SVR-4\CorpEng\Fire Safety\Sustaining Projects\VicFlex Bracket Calculator\Screenshots\VB4-S&amp;S-Tgrid.png</t>
  </si>
  <si>
    <t>\\EN-SVR-4\CorpEng\Fire Safety\Sustaining Projects\VicFlex Bracket Calculator\Screenshots\VB5-Conc-Data.png</t>
  </si>
  <si>
    <t>\\EN-SVR-4\CorpEng\Fire Safety\Sustaining Projects\VicFlex Bracket Calculator\Screenshots\VB5-Rec-Data.png</t>
  </si>
  <si>
    <t>\\EN-SVR-4\CorpEng\Fire Safety\Sustaining Projects\VicFlex Bracket Calculator\Screenshots\AB2-Rec-Tgrid.png</t>
  </si>
  <si>
    <t>\\EN-SVR-4\CorpEng\Fire Safety\Sustaining Projects\VicFlex Bracket Calculator\Screenshots\AB2-Conc-Joist.png</t>
  </si>
  <si>
    <t>\\EN-SVR-4\CorpEng\Fire Safety\Sustaining Projects\VicFlex Bracket Calculator\Screenshots\AB5-Conc-Data.png</t>
  </si>
  <si>
    <t>\\EN-SVR-4\CorpEng\Fire Safety\Sustaining Projects\VicFlex Bracket Calculator\Screenshots\AB5-Conc-Data-Stand-Short.png</t>
  </si>
  <si>
    <t>\\EN-SVR-4\CorpEng\Fire Safety\Sustaining Projects\VicFlex Bracket Calculator\Screenshots\AB7-Rec-Tgrid-Stand-Long.png</t>
  </si>
  <si>
    <t>double check that center bracket is still on flats of reducer</t>
  </si>
  <si>
    <t>cross section drywall only</t>
  </si>
  <si>
    <t>change background to "plain white" and cross section drywall only, also check recessed collar position in escutcheon</t>
  </si>
  <si>
    <t>change background to "plain white"</t>
  </si>
  <si>
    <t>either remove screws or show installed</t>
  </si>
  <si>
    <t>double check that center bracket is still on flats of reducer (cheat grid taller if necessary)</t>
  </si>
  <si>
    <t>change background to "plain white", change to 3/4" adj escutcheon to be consistent, check collar position in escutcheon, cross section tile only</t>
  </si>
  <si>
    <t>change background to "plain white", show center bracket screw installed, cross section tile only</t>
  </si>
  <si>
    <t>change background to "plain white", show center bracket screw installed</t>
  </si>
  <si>
    <t>check recessed collar position, cross section tile only</t>
  </si>
  <si>
    <t>cross section tile only and sprinkler got chopped off on bottom</t>
  </si>
  <si>
    <t>change background to "plain white", check collar position in escutcheon, cross section tile only</t>
  </si>
  <si>
    <t>check recessed collar position on all recessed heads - try to center in escutcheon - see AB2-rec-tgrid-standard long elbow vs. ab2-rec-tgrid (try to center in escutcheon and take "D" values with it centered)</t>
  </si>
  <si>
    <t>\\EN-SVR-4\CorpEng\Fire Safety\Sustaining Projects\VicFlex Bracket Calculator\Screenshots\AB11-Rec-Tgrid-Low-Long.png</t>
  </si>
  <si>
    <t>Go over all rec measurments</t>
  </si>
  <si>
    <t>Go over all N/A measurments and less than 1in</t>
  </si>
  <si>
    <t>\\EN-SVR-4\CorpEng\Fire Safety\Sustaining Projects\VicFlex Bracket Calculator\Pack and Go Model Files\VB2-Rec-Tgrid\AQF-A-000-013_LIT-01.SLDASM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</si>
</sst>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4" fillId="2" borderId="0" applyNumberFormat="0" applyBorder="0" applyAlignment="0" applyProtection="0"/>
  </cellStyleXfs>
  <cellXfs count="20">
    <xf numFmtId="0" fontId="0" fillId="0" borderId="0" xfId="0"/>
    <xf numFmtId="0" fontId="2" fillId="0" borderId="0" xfId="1"/>
    <xf numFmtId="0" fontId="2" fillId="0" borderId="0" xfId="1" applyAlignment="1">
      <alignment vertical="center" wrapText="1"/>
    </xf>
    <xf numFmtId="0" fontId="1" fillId="0" borderId="1" xfId="1" applyFont="1" applyBorder="1" applyAlignment="1">
      <alignment horizontal="center" vertical="center"/>
    </xf>
    <xf numFmtId="164" fontId="2" fillId="0" borderId="1" xfId="1" applyNumberFormat="1" applyBorder="1" applyAlignment="1">
      <alignment horizontal="center"/>
    </xf>
    <xf numFmtId="1" fontId="2" fillId="0" borderId="1" xfId="1" applyNumberFormat="1" applyBorder="1" applyAlignment="1">
      <alignment horizontal="center"/>
    </xf>
    <xf numFmtId="0" fontId="2" fillId="0" borderId="1" xfId="1" applyBorder="1" applyAlignment="1">
      <alignment horizontal="center" vertical="center"/>
    </xf>
    <xf numFmtId="0" fontId="2" fillId="0" borderId="1" xfId="1" applyBorder="1" applyAlignment="1">
      <alignment horizontal="center" wrapText="1"/>
    </xf>
    <xf numFmtId="0" fontId="2" fillId="0" borderId="1" xfId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4" fillId="2" borderId="0" xfId="2"/>
    <xf numFmtId="0" fontId="2" fillId="0" borderId="2" xfId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2" xfId="1" applyFont="1" applyBorder="1" applyAlignment="1">
      <alignment horizontal="center" vertical="center" wrapText="1"/>
    </xf>
    <xf numFmtId="0" fontId="1" fillId="0" borderId="3" xfId="1" applyFont="1" applyBorder="1" applyAlignment="1">
      <alignment horizontal="center" vertical="center" wrapText="1"/>
    </xf>
    <xf numFmtId="0" fontId="1" fillId="0" borderId="2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</cellXfs>
  <cellStyles count="3">
    <cellStyle name="Good" xfId="2" builtinId="26"/>
    <cellStyle name="Normal" xfId="0" builtinId="0"/>
    <cellStyle name="Normal 2" xfId="1" xr:uid="{0D974CF5-E30B-45E4-8A0B-6B3C4F6A59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8</xdr:col>
      <xdr:colOff>334017</xdr:colOff>
      <xdr:row>23</xdr:row>
      <xdr:rowOff>48190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814182-AFD0-434D-01DE-81BD4D663076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1000"/>
          <a:ext cx="4601217" cy="40486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0F574-59F5-4885-9371-D2DE4E9CB76D}">
  <dimension ref="A2:O37"/>
  <sheetViews>
    <sheetView tabSelected="1" zoomScale="70" zoomScaleNormal="70" workbookViewId="0">
      <selection activeCell="K16" sqref="K16"/>
    </sheetView>
  </sheetViews>
  <sheetFormatPr defaultColWidth="9.140625" defaultRowHeight="15" x14ac:dyDescent="0.25"/>
  <cols>
    <col min="1" max="2" width="9.140625" style="1"/>
    <col min="3" max="3" width="22.5703125" style="1" bestFit="1" customWidth="1"/>
    <col min="4" max="4" width="21.7109375" style="1" bestFit="1" customWidth="1"/>
    <col min="5" max="5" width="12.28515625" style="1" bestFit="1" customWidth="1"/>
    <col min="6" max="6" width="17.42578125" style="1" bestFit="1" customWidth="1"/>
    <col min="7" max="10" width="10.7109375" style="1" customWidth="1"/>
    <col min="11" max="11" width="156.5703125" style="1" customWidth="1"/>
    <col min="12" max="12" width="117.140625" style="1" customWidth="1"/>
    <col min="13" max="13" width="185.5703125" style="1" customWidth="1"/>
    <col min="14" max="16384" width="9.140625" style="1"/>
  </cols>
  <sheetData>
    <row r="2" spans="1:15" ht="15" customHeight="1" x14ac:dyDescent="0.25">
      <c r="B2" s="3" t="s">
        <v>20</v>
      </c>
      <c r="C2" s="3" t="s">
        <v>2</v>
      </c>
      <c r="D2" s="3" t="s">
        <v>5</v>
      </c>
      <c r="E2" s="3" t="s">
        <v>3</v>
      </c>
      <c r="F2" s="3" t="s">
        <v>4</v>
      </c>
      <c r="G2" s="18" t="s">
        <v>39</v>
      </c>
      <c r="H2" s="19"/>
      <c r="I2" s="16" t="s">
        <v>40</v>
      </c>
      <c r="J2" s="17"/>
      <c r="K2" s="3" t="s">
        <v>26</v>
      </c>
      <c r="L2" s="3" t="s">
        <v>27</v>
      </c>
    </row>
    <row r="3" spans="1:15" x14ac:dyDescent="0.25">
      <c r="A3" s="13"/>
      <c r="B3" s="6" t="s">
        <v>0</v>
      </c>
      <c r="C3" s="6" t="s">
        <v>0</v>
      </c>
      <c r="D3" s="15" t="s">
        <v>7</v>
      </c>
      <c r="E3" s="6" t="s">
        <v>10</v>
      </c>
      <c r="F3" s="6" t="s">
        <v>6</v>
      </c>
      <c r="G3" s="4">
        <v>1.4</v>
      </c>
      <c r="H3" s="4">
        <v>3</v>
      </c>
      <c r="I3" s="5">
        <f>IF(G3="N/A","N/A",CONVERT(G3,"in","mm"))</f>
        <v>35.56</v>
      </c>
      <c r="J3" s="5">
        <f>IF(H3="N/A","N/A",CONVERT(H3,"in","mm"))</f>
        <v>76.2</v>
      </c>
      <c r="K3" s="7" t="s">
        <v>29</v>
      </c>
      <c r="L3" s="7" t="s">
        <v>28</v>
      </c>
      <c r="M3" s="2"/>
      <c r="N3" s="2"/>
      <c r="O3" s="2"/>
    </row>
    <row r="4" spans="1:15" x14ac:dyDescent="0.25">
      <c r="A4" s="13"/>
      <c r="B4" s="6" t="s">
        <v>0</v>
      </c>
      <c r="C4" s="6" t="s">
        <v>0</v>
      </c>
      <c r="D4" s="15" t="s">
        <v>8</v>
      </c>
      <c r="E4" s="6" t="s">
        <v>10</v>
      </c>
      <c r="F4" s="6" t="s">
        <v>6</v>
      </c>
      <c r="G4" s="15" t="s">
        <v>25</v>
      </c>
      <c r="H4" s="4">
        <v>2</v>
      </c>
      <c r="I4" s="5" t="str">
        <f t="shared" ref="I4:I9" si="0">IF(G4="N/A","N/A",CONVERT(G4,"in","mm"))</f>
        <v>N/A</v>
      </c>
      <c r="J4" s="5">
        <f t="shared" ref="J4:J9" si="1">IF(H4="N/A","N/A",CONVERT(H4,"in","mm"))</f>
        <v>50.8</v>
      </c>
      <c r="K4" s="8" t="s">
        <v>118</v>
      </c>
      <c r="L4" s="8" t="s">
        <v>91</v>
      </c>
    </row>
    <row r="5" spans="1:15" x14ac:dyDescent="0.25">
      <c r="A5" s="13"/>
      <c r="B5" s="6" t="s">
        <v>0</v>
      </c>
      <c r="C5" s="6" t="s">
        <v>0</v>
      </c>
      <c r="D5" s="15" t="s">
        <v>7</v>
      </c>
      <c r="E5" s="6" t="s">
        <v>1</v>
      </c>
      <c r="F5" s="6" t="s">
        <v>6</v>
      </c>
      <c r="G5" s="15" t="s">
        <v>25</v>
      </c>
      <c r="H5" s="4">
        <v>2.2000000000000002</v>
      </c>
      <c r="I5" s="5" t="str">
        <f t="shared" si="0"/>
        <v>N/A</v>
      </c>
      <c r="J5" s="5">
        <f t="shared" si="1"/>
        <v>55.88</v>
      </c>
      <c r="K5" s="8" t="s">
        <v>30</v>
      </c>
      <c r="L5" s="8" t="s">
        <v>92</v>
      </c>
      <c r="M5" s="2"/>
      <c r="N5" s="2"/>
      <c r="O5" s="2"/>
    </row>
    <row r="6" spans="1:15" x14ac:dyDescent="0.25">
      <c r="A6" s="13"/>
      <c r="B6" s="6" t="s">
        <v>0</v>
      </c>
      <c r="C6" s="6" t="s">
        <v>0</v>
      </c>
      <c r="D6" s="15" t="s">
        <v>7</v>
      </c>
      <c r="E6" s="6" t="s">
        <v>11</v>
      </c>
      <c r="F6" s="6" t="s">
        <v>6</v>
      </c>
      <c r="G6" s="15" t="s">
        <v>25</v>
      </c>
      <c r="H6" s="4">
        <v>2</v>
      </c>
      <c r="I6" s="5" t="str">
        <f t="shared" si="0"/>
        <v>N/A</v>
      </c>
      <c r="J6" s="5">
        <f t="shared" si="1"/>
        <v>50.8</v>
      </c>
      <c r="K6" s="8" t="s">
        <v>31</v>
      </c>
      <c r="L6" s="8" t="s">
        <v>93</v>
      </c>
    </row>
    <row r="7" spans="1:15" x14ac:dyDescent="0.25">
      <c r="A7" s="13"/>
      <c r="B7" s="6" t="s">
        <v>0</v>
      </c>
      <c r="C7" s="6" t="s">
        <v>0</v>
      </c>
      <c r="D7" s="15" t="s">
        <v>9</v>
      </c>
      <c r="E7" s="6" t="s">
        <v>11</v>
      </c>
      <c r="F7" s="6" t="s">
        <v>6</v>
      </c>
      <c r="G7" s="4">
        <v>1.1000000000000001</v>
      </c>
      <c r="H7" s="4">
        <v>2.5</v>
      </c>
      <c r="I7" s="5">
        <f t="shared" si="0"/>
        <v>27.94</v>
      </c>
      <c r="J7" s="5">
        <f t="shared" si="1"/>
        <v>63.5</v>
      </c>
      <c r="K7" s="8" t="s">
        <v>33</v>
      </c>
      <c r="L7" s="8" t="s">
        <v>94</v>
      </c>
    </row>
    <row r="8" spans="1:15" x14ac:dyDescent="0.25">
      <c r="A8" s="13"/>
      <c r="B8" s="6" t="s">
        <v>0</v>
      </c>
      <c r="C8" s="6" t="s">
        <v>0</v>
      </c>
      <c r="D8" s="15" t="s">
        <v>7</v>
      </c>
      <c r="E8" s="9" t="s">
        <v>21</v>
      </c>
      <c r="F8" s="6" t="s">
        <v>12</v>
      </c>
      <c r="G8" s="4">
        <v>2.2999999999999998</v>
      </c>
      <c r="H8" s="4">
        <v>3.2</v>
      </c>
      <c r="I8" s="5">
        <f t="shared" si="0"/>
        <v>58.42</v>
      </c>
      <c r="J8" s="5">
        <f t="shared" si="1"/>
        <v>81.28</v>
      </c>
      <c r="K8" s="8" t="s">
        <v>35</v>
      </c>
      <c r="L8" s="8" t="s">
        <v>95</v>
      </c>
    </row>
    <row r="9" spans="1:15" x14ac:dyDescent="0.25">
      <c r="A9" s="13"/>
      <c r="B9" s="6" t="s">
        <v>0</v>
      </c>
      <c r="C9" s="6" t="s">
        <v>0</v>
      </c>
      <c r="D9" s="15" t="s">
        <v>32</v>
      </c>
      <c r="E9" s="9" t="s">
        <v>21</v>
      </c>
      <c r="F9" s="6" t="s">
        <v>12</v>
      </c>
      <c r="G9" s="4">
        <v>1.9</v>
      </c>
      <c r="H9" s="4">
        <v>2.2999999999999998</v>
      </c>
      <c r="I9" s="5">
        <f t="shared" si="0"/>
        <v>48.26</v>
      </c>
      <c r="J9" s="5">
        <f t="shared" si="1"/>
        <v>58.42</v>
      </c>
      <c r="K9" s="8" t="s">
        <v>34</v>
      </c>
      <c r="L9" s="8" t="s">
        <v>96</v>
      </c>
    </row>
    <row r="10" spans="1:15" x14ac:dyDescent="0.25">
      <c r="A10" s="13"/>
      <c r="B10" s="8" t="s">
        <v>36</v>
      </c>
      <c r="C10" s="8" t="s">
        <v>37</v>
      </c>
      <c r="D10" s="15" t="s">
        <v>8</v>
      </c>
      <c r="E10" s="8" t="s">
        <v>15</v>
      </c>
      <c r="F10" s="8" t="s">
        <v>6</v>
      </c>
      <c r="G10" s="8" t="s">
        <v>25</v>
      </c>
      <c r="H10" s="8">
        <v>2.2000000000000002</v>
      </c>
      <c r="I10" s="5" t="str">
        <f t="shared" ref="I10:I33" si="2">IF(G10="N/A","N/A",CONVERT(G10,"in","mm"))</f>
        <v>N/A</v>
      </c>
      <c r="J10" s="5">
        <f t="shared" ref="J10:J33" si="3">IF(H10="N/A","N/A",CONVERT(H10,"in","mm"))</f>
        <v>55.88</v>
      </c>
      <c r="K10" s="8" t="s">
        <v>41</v>
      </c>
      <c r="L10" s="8" t="s">
        <v>97</v>
      </c>
    </row>
    <row r="11" spans="1:15" x14ac:dyDescent="0.25">
      <c r="A11" s="13"/>
      <c r="B11" s="8" t="s">
        <v>36</v>
      </c>
      <c r="C11" s="8" t="s">
        <v>37</v>
      </c>
      <c r="D11" s="15" t="s">
        <v>7</v>
      </c>
      <c r="E11" s="8" t="s">
        <v>15</v>
      </c>
      <c r="F11" s="8" t="s">
        <v>6</v>
      </c>
      <c r="G11" s="6" t="s">
        <v>25</v>
      </c>
      <c r="H11" s="6">
        <v>3.6</v>
      </c>
      <c r="I11" s="5" t="str">
        <f t="shared" si="2"/>
        <v>N/A</v>
      </c>
      <c r="J11" s="5">
        <f t="shared" si="3"/>
        <v>91.44</v>
      </c>
      <c r="K11" s="6" t="s">
        <v>50</v>
      </c>
      <c r="L11" s="6" t="s">
        <v>80</v>
      </c>
      <c r="M11" s="13" t="s">
        <v>102</v>
      </c>
    </row>
    <row r="12" spans="1:15" x14ac:dyDescent="0.25">
      <c r="A12" s="13"/>
      <c r="B12" s="8" t="s">
        <v>36</v>
      </c>
      <c r="C12" s="8" t="s">
        <v>37</v>
      </c>
      <c r="D12" s="15" t="s">
        <v>8</v>
      </c>
      <c r="E12" s="8" t="s">
        <v>15</v>
      </c>
      <c r="F12" s="8" t="s">
        <v>13</v>
      </c>
      <c r="G12" s="6">
        <v>3.6</v>
      </c>
      <c r="H12" s="6">
        <v>4.4000000000000004</v>
      </c>
      <c r="I12" s="5">
        <f t="shared" si="2"/>
        <v>91.44</v>
      </c>
      <c r="J12" s="5">
        <f t="shared" si="3"/>
        <v>111.76</v>
      </c>
      <c r="K12" s="14" t="s">
        <v>51</v>
      </c>
      <c r="L12" s="15" t="s">
        <v>81</v>
      </c>
      <c r="M12" s="13" t="s">
        <v>103</v>
      </c>
    </row>
    <row r="13" spans="1:15" x14ac:dyDescent="0.25">
      <c r="A13" s="13"/>
      <c r="B13" s="8" t="s">
        <v>36</v>
      </c>
      <c r="C13" s="8" t="s">
        <v>37</v>
      </c>
      <c r="D13" s="15" t="s">
        <v>7</v>
      </c>
      <c r="E13" s="8" t="s">
        <v>15</v>
      </c>
      <c r="F13" s="8" t="s">
        <v>13</v>
      </c>
      <c r="G13" s="6">
        <v>3.5</v>
      </c>
      <c r="H13" s="6">
        <v>6.5</v>
      </c>
      <c r="I13" s="5">
        <f t="shared" si="2"/>
        <v>88.9</v>
      </c>
      <c r="J13" s="5">
        <f t="shared" si="3"/>
        <v>165.1</v>
      </c>
      <c r="K13" s="10" t="s">
        <v>78</v>
      </c>
      <c r="L13" s="15" t="s">
        <v>98</v>
      </c>
      <c r="M13" s="13" t="s">
        <v>103</v>
      </c>
    </row>
    <row r="14" spans="1:15" x14ac:dyDescent="0.25">
      <c r="A14" s="13"/>
      <c r="B14" s="8" t="s">
        <v>36</v>
      </c>
      <c r="C14" s="8" t="s">
        <v>37</v>
      </c>
      <c r="D14" s="15" t="s">
        <v>8</v>
      </c>
      <c r="E14" s="8" t="s">
        <v>16</v>
      </c>
      <c r="F14" s="8" t="s">
        <v>14</v>
      </c>
      <c r="G14" s="6">
        <v>1.3</v>
      </c>
      <c r="H14" s="6">
        <v>2.8</v>
      </c>
      <c r="I14" s="5">
        <f t="shared" si="2"/>
        <v>33.020000000000003</v>
      </c>
      <c r="J14" s="5">
        <f t="shared" si="3"/>
        <v>71.12</v>
      </c>
      <c r="K14" s="14" t="s">
        <v>83</v>
      </c>
      <c r="L14" s="15" t="s">
        <v>85</v>
      </c>
      <c r="M14" s="13" t="s">
        <v>104</v>
      </c>
    </row>
    <row r="15" spans="1:15" x14ac:dyDescent="0.25">
      <c r="A15" s="13"/>
      <c r="B15" s="8" t="s">
        <v>36</v>
      </c>
      <c r="C15" s="8" t="s">
        <v>37</v>
      </c>
      <c r="D15" s="15" t="s">
        <v>7</v>
      </c>
      <c r="E15" s="8" t="s">
        <v>16</v>
      </c>
      <c r="F15" s="8" t="s">
        <v>14</v>
      </c>
      <c r="G15" s="6">
        <v>1.3</v>
      </c>
      <c r="H15" s="6">
        <v>4.0999999999999996</v>
      </c>
      <c r="I15" s="5">
        <f t="shared" si="2"/>
        <v>33.020000000000003</v>
      </c>
      <c r="J15" s="5">
        <f t="shared" si="3"/>
        <v>104.13999999999999</v>
      </c>
      <c r="K15" s="14" t="s">
        <v>82</v>
      </c>
      <c r="L15" s="15" t="s">
        <v>84</v>
      </c>
      <c r="M15" s="13" t="s">
        <v>105</v>
      </c>
    </row>
    <row r="16" spans="1:15" x14ac:dyDescent="0.25">
      <c r="A16" s="13"/>
      <c r="B16" s="8" t="s">
        <v>36</v>
      </c>
      <c r="C16" s="8" t="s">
        <v>37</v>
      </c>
      <c r="D16" s="15" t="s">
        <v>8</v>
      </c>
      <c r="E16" s="8" t="s">
        <v>17</v>
      </c>
      <c r="F16" s="8" t="s">
        <v>13</v>
      </c>
      <c r="G16" s="6">
        <v>0.8</v>
      </c>
      <c r="H16" s="6">
        <v>5.3</v>
      </c>
      <c r="I16" s="5">
        <f t="shared" si="2"/>
        <v>20.32</v>
      </c>
      <c r="J16" s="5">
        <f t="shared" si="3"/>
        <v>134.61999999999998</v>
      </c>
      <c r="K16" s="14" t="s">
        <v>52</v>
      </c>
      <c r="L16" s="15" t="s">
        <v>55</v>
      </c>
      <c r="M16" s="13" t="s">
        <v>106</v>
      </c>
    </row>
    <row r="17" spans="1:13" x14ac:dyDescent="0.25">
      <c r="A17" s="13"/>
      <c r="B17" s="8" t="s">
        <v>36</v>
      </c>
      <c r="C17" s="8" t="s">
        <v>37</v>
      </c>
      <c r="D17" s="15" t="s">
        <v>7</v>
      </c>
      <c r="E17" s="8" t="s">
        <v>17</v>
      </c>
      <c r="F17" s="8" t="s">
        <v>13</v>
      </c>
      <c r="G17" s="6">
        <v>3.4</v>
      </c>
      <c r="H17" s="6">
        <v>6.7</v>
      </c>
      <c r="I17" s="5">
        <f t="shared" si="2"/>
        <v>86.36</v>
      </c>
      <c r="J17" s="5">
        <f t="shared" si="3"/>
        <v>170.18</v>
      </c>
      <c r="K17" s="14" t="s">
        <v>53</v>
      </c>
      <c r="L17" s="15" t="s">
        <v>56</v>
      </c>
      <c r="M17" s="13" t="s">
        <v>106</v>
      </c>
    </row>
    <row r="18" spans="1:13" x14ac:dyDescent="0.25">
      <c r="A18" s="13"/>
      <c r="B18" s="8" t="s">
        <v>36</v>
      </c>
      <c r="C18" s="8" t="s">
        <v>37</v>
      </c>
      <c r="D18" s="15" t="s">
        <v>8</v>
      </c>
      <c r="E18" s="8" t="s">
        <v>17</v>
      </c>
      <c r="F18" s="6" t="s">
        <v>12</v>
      </c>
      <c r="G18" s="6" t="s">
        <v>25</v>
      </c>
      <c r="H18" s="6">
        <v>4.5</v>
      </c>
      <c r="I18" s="5" t="str">
        <f t="shared" si="2"/>
        <v>N/A</v>
      </c>
      <c r="J18" s="5">
        <f t="shared" si="3"/>
        <v>114.3</v>
      </c>
      <c r="K18" s="11" t="s">
        <v>90</v>
      </c>
      <c r="L18" s="6" t="s">
        <v>57</v>
      </c>
      <c r="M18" s="12"/>
    </row>
    <row r="19" spans="1:13" x14ac:dyDescent="0.25">
      <c r="A19" s="13"/>
      <c r="B19" s="8" t="s">
        <v>36</v>
      </c>
      <c r="C19" s="8" t="s">
        <v>37</v>
      </c>
      <c r="D19" s="15" t="s">
        <v>7</v>
      </c>
      <c r="E19" s="8" t="s">
        <v>17</v>
      </c>
      <c r="F19" s="6" t="s">
        <v>12</v>
      </c>
      <c r="G19" s="6">
        <v>3.2</v>
      </c>
      <c r="H19" s="6">
        <v>7.5</v>
      </c>
      <c r="I19" s="5">
        <f t="shared" si="2"/>
        <v>81.28</v>
      </c>
      <c r="J19" s="5">
        <f t="shared" si="3"/>
        <v>190.5</v>
      </c>
      <c r="K19" s="6" t="s">
        <v>54</v>
      </c>
      <c r="L19" s="6" t="s">
        <v>99</v>
      </c>
      <c r="M19" s="13" t="s">
        <v>107</v>
      </c>
    </row>
    <row r="20" spans="1:13" x14ac:dyDescent="0.25">
      <c r="A20" s="13"/>
      <c r="B20" s="8" t="s">
        <v>36</v>
      </c>
      <c r="C20" s="8" t="s">
        <v>37</v>
      </c>
      <c r="D20" s="15" t="s">
        <v>8</v>
      </c>
      <c r="E20" s="8" t="s">
        <v>18</v>
      </c>
      <c r="F20" s="8" t="s">
        <v>6</v>
      </c>
      <c r="G20" s="6" t="s">
        <v>25</v>
      </c>
      <c r="H20" s="6">
        <v>2.2000000000000002</v>
      </c>
      <c r="I20" s="5" t="str">
        <f t="shared" si="2"/>
        <v>N/A</v>
      </c>
      <c r="J20" s="5">
        <f t="shared" si="3"/>
        <v>55.88</v>
      </c>
      <c r="K20" s="6" t="s">
        <v>75</v>
      </c>
      <c r="L20" s="6" t="s">
        <v>58</v>
      </c>
      <c r="M20" s="13" t="s">
        <v>108</v>
      </c>
    </row>
    <row r="21" spans="1:13" x14ac:dyDescent="0.25">
      <c r="A21" s="13"/>
      <c r="B21" s="8" t="s">
        <v>36</v>
      </c>
      <c r="C21" s="8" t="s">
        <v>37</v>
      </c>
      <c r="D21" s="15" t="s">
        <v>7</v>
      </c>
      <c r="E21" s="8" t="s">
        <v>18</v>
      </c>
      <c r="F21" s="8" t="s">
        <v>6</v>
      </c>
      <c r="G21" s="6" t="s">
        <v>25</v>
      </c>
      <c r="H21" s="6">
        <v>4</v>
      </c>
      <c r="I21" s="5" t="str">
        <f t="shared" si="2"/>
        <v>N/A</v>
      </c>
      <c r="J21" s="5">
        <f t="shared" si="3"/>
        <v>101.6</v>
      </c>
      <c r="K21" s="6" t="s">
        <v>59</v>
      </c>
      <c r="L21" s="6" t="s">
        <v>60</v>
      </c>
      <c r="M21" s="13" t="s">
        <v>105</v>
      </c>
    </row>
    <row r="22" spans="1:13" x14ac:dyDescent="0.25">
      <c r="A22" s="13"/>
      <c r="B22" s="8" t="s">
        <v>36</v>
      </c>
      <c r="C22" s="8" t="s">
        <v>45</v>
      </c>
      <c r="D22" s="15" t="s">
        <v>8</v>
      </c>
      <c r="E22" s="8" t="s">
        <v>19</v>
      </c>
      <c r="F22" s="8" t="s">
        <v>6</v>
      </c>
      <c r="G22" s="6" t="s">
        <v>25</v>
      </c>
      <c r="H22" s="6">
        <v>2.6</v>
      </c>
      <c r="I22" s="5" t="str">
        <f t="shared" si="2"/>
        <v>N/A</v>
      </c>
      <c r="J22" s="5">
        <f t="shared" si="3"/>
        <v>66.040000000000006</v>
      </c>
      <c r="K22" s="6" t="s">
        <v>63</v>
      </c>
      <c r="L22" s="6" t="s">
        <v>115</v>
      </c>
      <c r="M22" s="13" t="s">
        <v>109</v>
      </c>
    </row>
    <row r="23" spans="1:13" x14ac:dyDescent="0.25">
      <c r="A23" s="13"/>
      <c r="B23" s="8" t="s">
        <v>36</v>
      </c>
      <c r="C23" s="8" t="s">
        <v>46</v>
      </c>
      <c r="D23" s="15" t="s">
        <v>7</v>
      </c>
      <c r="E23" s="8" t="s">
        <v>19</v>
      </c>
      <c r="F23" s="8" t="s">
        <v>6</v>
      </c>
      <c r="G23" s="6">
        <v>1</v>
      </c>
      <c r="H23" s="6">
        <v>2.2999999999999998</v>
      </c>
      <c r="I23" s="5">
        <f t="shared" si="2"/>
        <v>25.4</v>
      </c>
      <c r="J23" s="5">
        <f t="shared" si="3"/>
        <v>58.42</v>
      </c>
      <c r="K23" s="6" t="s">
        <v>61</v>
      </c>
      <c r="L23" s="6" t="s">
        <v>62</v>
      </c>
      <c r="M23" s="13" t="s">
        <v>110</v>
      </c>
    </row>
    <row r="24" spans="1:13" x14ac:dyDescent="0.25">
      <c r="A24" s="13"/>
      <c r="B24" s="8" t="s">
        <v>36</v>
      </c>
      <c r="C24" s="8" t="s">
        <v>48</v>
      </c>
      <c r="D24" s="15" t="s">
        <v>8</v>
      </c>
      <c r="E24" s="8" t="s">
        <v>15</v>
      </c>
      <c r="F24" s="8" t="s">
        <v>6</v>
      </c>
      <c r="G24" s="6">
        <v>1.4</v>
      </c>
      <c r="H24" s="6">
        <v>2.2999999999999998</v>
      </c>
      <c r="I24" s="5">
        <f t="shared" si="2"/>
        <v>35.56</v>
      </c>
      <c r="J24" s="5">
        <f t="shared" si="3"/>
        <v>58.42</v>
      </c>
      <c r="K24" s="6" t="s">
        <v>66</v>
      </c>
      <c r="L24" s="6" t="s">
        <v>64</v>
      </c>
      <c r="M24" s="13" t="s">
        <v>111</v>
      </c>
    </row>
    <row r="25" spans="1:13" x14ac:dyDescent="0.25">
      <c r="A25" s="13"/>
      <c r="B25" s="8" t="s">
        <v>36</v>
      </c>
      <c r="C25" s="8" t="s">
        <v>49</v>
      </c>
      <c r="D25" s="15" t="s">
        <v>7</v>
      </c>
      <c r="E25" s="8" t="s">
        <v>15</v>
      </c>
      <c r="F25" s="8" t="s">
        <v>6</v>
      </c>
      <c r="G25" s="6">
        <v>1.4</v>
      </c>
      <c r="H25" s="6">
        <v>1.9</v>
      </c>
      <c r="I25" s="5">
        <f t="shared" si="2"/>
        <v>35.56</v>
      </c>
      <c r="J25" s="5">
        <f t="shared" si="3"/>
        <v>48.26</v>
      </c>
      <c r="K25" s="6" t="s">
        <v>67</v>
      </c>
      <c r="L25" s="6" t="s">
        <v>65</v>
      </c>
      <c r="M25" s="12"/>
    </row>
    <row r="26" spans="1:13" x14ac:dyDescent="0.25">
      <c r="A26" s="13"/>
      <c r="B26" s="8" t="s">
        <v>36</v>
      </c>
      <c r="C26" s="8" t="s">
        <v>48</v>
      </c>
      <c r="D26" s="15" t="s">
        <v>8</v>
      </c>
      <c r="E26" s="8" t="s">
        <v>16</v>
      </c>
      <c r="F26" s="8" t="s">
        <v>14</v>
      </c>
      <c r="G26" s="6">
        <v>1.3</v>
      </c>
      <c r="H26" s="6">
        <v>2.7</v>
      </c>
      <c r="I26" s="5">
        <f t="shared" si="2"/>
        <v>33.020000000000003</v>
      </c>
      <c r="J26" s="5">
        <f t="shared" si="3"/>
        <v>68.58</v>
      </c>
      <c r="K26" s="6" t="s">
        <v>86</v>
      </c>
      <c r="L26" s="6" t="s">
        <v>88</v>
      </c>
      <c r="M26" s="13" t="s">
        <v>104</v>
      </c>
    </row>
    <row r="27" spans="1:13" x14ac:dyDescent="0.25">
      <c r="A27" s="13"/>
      <c r="B27" s="8" t="s">
        <v>36</v>
      </c>
      <c r="C27" s="8" t="s">
        <v>49</v>
      </c>
      <c r="D27" s="15" t="s">
        <v>7</v>
      </c>
      <c r="E27" s="8" t="s">
        <v>16</v>
      </c>
      <c r="F27" s="8" t="s">
        <v>14</v>
      </c>
      <c r="G27" s="6">
        <v>1.3</v>
      </c>
      <c r="H27" s="6">
        <v>2.2999999999999998</v>
      </c>
      <c r="I27" s="5">
        <f t="shared" si="2"/>
        <v>33.020000000000003</v>
      </c>
      <c r="J27" s="5">
        <f t="shared" si="3"/>
        <v>58.42</v>
      </c>
      <c r="K27" s="6" t="s">
        <v>87</v>
      </c>
      <c r="L27" s="6" t="s">
        <v>89</v>
      </c>
      <c r="M27" s="13" t="s">
        <v>105</v>
      </c>
    </row>
    <row r="28" spans="1:13" x14ac:dyDescent="0.25">
      <c r="A28" s="13"/>
      <c r="B28" s="8" t="s">
        <v>36</v>
      </c>
      <c r="C28" s="8" t="s">
        <v>45</v>
      </c>
      <c r="D28" s="15" t="s">
        <v>8</v>
      </c>
      <c r="E28" s="8" t="s">
        <v>17</v>
      </c>
      <c r="F28" s="6" t="s">
        <v>12</v>
      </c>
      <c r="G28" s="6" t="s">
        <v>25</v>
      </c>
      <c r="H28" s="6">
        <v>3.8</v>
      </c>
      <c r="I28" s="5" t="str">
        <f t="shared" si="2"/>
        <v>N/A</v>
      </c>
      <c r="J28" s="5">
        <f t="shared" si="3"/>
        <v>96.52</v>
      </c>
      <c r="K28" s="6" t="s">
        <v>68</v>
      </c>
      <c r="L28" s="6" t="s">
        <v>69</v>
      </c>
      <c r="M28" s="13" t="s">
        <v>112</v>
      </c>
    </row>
    <row r="29" spans="1:13" x14ac:dyDescent="0.25">
      <c r="A29" s="13"/>
      <c r="B29" s="8" t="s">
        <v>36</v>
      </c>
      <c r="C29" s="8" t="s">
        <v>46</v>
      </c>
      <c r="D29" s="15" t="s">
        <v>7</v>
      </c>
      <c r="E29" s="8" t="s">
        <v>17</v>
      </c>
      <c r="F29" s="6" t="s">
        <v>12</v>
      </c>
      <c r="G29" s="6">
        <v>2.1</v>
      </c>
      <c r="H29" s="6">
        <v>3.5</v>
      </c>
      <c r="I29" s="5">
        <f t="shared" si="2"/>
        <v>53.339999999999996</v>
      </c>
      <c r="J29" s="5">
        <f t="shared" si="3"/>
        <v>88.9</v>
      </c>
      <c r="K29" s="6" t="s">
        <v>70</v>
      </c>
      <c r="L29" s="6" t="s">
        <v>71</v>
      </c>
      <c r="M29" s="12"/>
    </row>
    <row r="30" spans="1:13" x14ac:dyDescent="0.25">
      <c r="A30" s="13"/>
      <c r="B30" s="8" t="s">
        <v>36</v>
      </c>
      <c r="C30" s="8" t="s">
        <v>48</v>
      </c>
      <c r="D30" s="15" t="s">
        <v>8</v>
      </c>
      <c r="E30" s="8" t="s">
        <v>17</v>
      </c>
      <c r="F30" s="6" t="s">
        <v>12</v>
      </c>
      <c r="G30" s="6">
        <v>2.1</v>
      </c>
      <c r="H30" s="6">
        <v>5.0999999999999996</v>
      </c>
      <c r="I30" s="5">
        <f t="shared" si="2"/>
        <v>53.339999999999996</v>
      </c>
      <c r="J30" s="5">
        <f t="shared" si="3"/>
        <v>129.54</v>
      </c>
      <c r="K30" s="6" t="s">
        <v>72</v>
      </c>
      <c r="L30" s="6" t="s">
        <v>73</v>
      </c>
      <c r="M30" s="13" t="s">
        <v>111</v>
      </c>
    </row>
    <row r="31" spans="1:13" x14ac:dyDescent="0.25">
      <c r="A31" s="13"/>
      <c r="B31" s="8" t="s">
        <v>36</v>
      </c>
      <c r="C31" s="8" t="s">
        <v>49</v>
      </c>
      <c r="D31" s="15" t="s">
        <v>7</v>
      </c>
      <c r="E31" s="8" t="s">
        <v>17</v>
      </c>
      <c r="F31" s="6" t="s">
        <v>12</v>
      </c>
      <c r="G31" s="6">
        <v>3.2</v>
      </c>
      <c r="H31" s="6">
        <v>5.3</v>
      </c>
      <c r="I31" s="5">
        <f t="shared" si="2"/>
        <v>81.28</v>
      </c>
      <c r="J31" s="5">
        <f t="shared" si="3"/>
        <v>134.61999999999998</v>
      </c>
      <c r="K31" s="6" t="s">
        <v>74</v>
      </c>
      <c r="L31" s="6" t="s">
        <v>100</v>
      </c>
      <c r="M31" s="12"/>
    </row>
    <row r="32" spans="1:13" x14ac:dyDescent="0.25">
      <c r="A32" s="13"/>
      <c r="B32" s="8" t="s">
        <v>36</v>
      </c>
      <c r="C32" s="8" t="s">
        <v>48</v>
      </c>
      <c r="D32" s="15" t="s">
        <v>8</v>
      </c>
      <c r="E32" s="8" t="s">
        <v>18</v>
      </c>
      <c r="F32" s="8" t="s">
        <v>6</v>
      </c>
      <c r="G32" s="6">
        <v>1.5</v>
      </c>
      <c r="H32" s="6">
        <v>2.8</v>
      </c>
      <c r="I32" s="5">
        <f t="shared" si="2"/>
        <v>38.1</v>
      </c>
      <c r="J32" s="5">
        <f t="shared" si="3"/>
        <v>71.12</v>
      </c>
      <c r="K32" s="6" t="s">
        <v>76</v>
      </c>
      <c r="L32" s="6" t="s">
        <v>101</v>
      </c>
      <c r="M32" s="13" t="s">
        <v>113</v>
      </c>
    </row>
    <row r="33" spans="1:13" x14ac:dyDescent="0.25">
      <c r="A33" s="13"/>
      <c r="B33" s="8" t="s">
        <v>36</v>
      </c>
      <c r="C33" s="8" t="s">
        <v>49</v>
      </c>
      <c r="D33" s="15" t="s">
        <v>7</v>
      </c>
      <c r="E33" s="8" t="s">
        <v>18</v>
      </c>
      <c r="F33" s="8" t="s">
        <v>6</v>
      </c>
      <c r="G33" s="6">
        <v>1.5</v>
      </c>
      <c r="H33" s="6">
        <v>2.5</v>
      </c>
      <c r="I33" s="5">
        <f t="shared" si="2"/>
        <v>38.1</v>
      </c>
      <c r="J33" s="5">
        <f t="shared" si="3"/>
        <v>63.5</v>
      </c>
      <c r="K33" s="6" t="s">
        <v>79</v>
      </c>
      <c r="L33" s="6" t="s">
        <v>77</v>
      </c>
      <c r="M33" s="13" t="s">
        <v>105</v>
      </c>
    </row>
    <row r="34" spans="1:13" x14ac:dyDescent="0.25">
      <c r="M34" s="12"/>
    </row>
    <row r="35" spans="1:13" x14ac:dyDescent="0.25">
      <c r="M35" s="12"/>
    </row>
    <row r="36" spans="1:13" x14ac:dyDescent="0.25">
      <c r="K36" s="13" t="s">
        <v>116</v>
      </c>
      <c r="M36" s="13" t="s">
        <v>114</v>
      </c>
    </row>
    <row r="37" spans="1:13" x14ac:dyDescent="0.25">
      <c r="K37" s="13" t="s">
        <v>117</v>
      </c>
    </row>
  </sheetData>
  <mergeCells count="2">
    <mergeCell ref="I2:J2"/>
    <mergeCell ref="G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D0CFC-DF44-49B6-8C12-9A0DF36DBC6E}">
  <dimension ref="A1"/>
  <sheetViews>
    <sheetView workbookViewId="0">
      <selection activeCell="L33" sqref="L3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03516-C5A0-48F0-9DF3-B2B257EFA97E}">
  <dimension ref="A3:A10"/>
  <sheetViews>
    <sheetView workbookViewId="0">
      <selection activeCell="A11" sqref="A11"/>
    </sheetView>
  </sheetViews>
  <sheetFormatPr defaultRowHeight="15" x14ac:dyDescent="0.25"/>
  <sheetData>
    <row r="3" spans="1:1" x14ac:dyDescent="0.25">
      <c r="A3" t="s">
        <v>22</v>
      </c>
    </row>
    <row r="4" spans="1:1" x14ac:dyDescent="0.25">
      <c r="A4" t="s">
        <v>23</v>
      </c>
    </row>
    <row r="5" spans="1:1" x14ac:dyDescent="0.25">
      <c r="A5" t="s">
        <v>24</v>
      </c>
    </row>
    <row r="6" spans="1:1" x14ac:dyDescent="0.25">
      <c r="A6" t="s">
        <v>38</v>
      </c>
    </row>
    <row r="7" spans="1:1" x14ac:dyDescent="0.25">
      <c r="A7" t="s">
        <v>44</v>
      </c>
    </row>
    <row r="8" spans="1:1" x14ac:dyDescent="0.25">
      <c r="A8" t="s">
        <v>42</v>
      </c>
    </row>
    <row r="9" spans="1:1" x14ac:dyDescent="0.25">
      <c r="A9" t="s">
        <v>43</v>
      </c>
    </row>
    <row r="10" spans="1:1" x14ac:dyDescent="0.25">
      <c r="A10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Configs</vt:lpstr>
      <vt:lpstr>Calculator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Sloan</dc:creator>
  <cp:lastModifiedBy>Chenla Long, Jr</cp:lastModifiedBy>
  <dcterms:created xsi:type="dcterms:W3CDTF">2024-04-10T18:24:21Z</dcterms:created>
  <dcterms:modified xsi:type="dcterms:W3CDTF">2025-05-29T13:04:16Z</dcterms:modified>
</cp:coreProperties>
</file>